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Data" sheetId="1" r:id="rId1"/>
    <sheet name="Data Validation" sheetId="7" r:id="rId2"/>
  </sheets>
  <externalReferences>
    <externalReference r:id="rId4"/>
  </externalReferences>
  <definedNames>
    <definedName name="_xlchart.v1.0" hidden="1">#REF!</definedName>
    <definedName name="_xlchart.v1.1" hidden="1">#REF!</definedName>
    <definedName name="_xlchart.v1.2" hidden="1">#REF!</definedName>
    <definedName name="_xlchart.v1.3" hidden="1">#REF!</definedName>
    <definedName name="_xlchart.v1.4" hidden="1">#REF!</definedName>
    <definedName name="_xlchart.v1.5" hidden="1">#REF!</definedName>
    <definedName name="_xlcn.WorksheetConnection_InfoB6B7" hidden="1">#REF!</definedName>
    <definedName name="Categories">TblDV[Sub-category]</definedName>
    <definedName name="stock_chart_data">_xlfn.STOCKHISTORY('[1]Watch List'!$J$5&amp;":"&amp;'[1]Watch List'!$K$5,TODAY()-30,TODAY(),0,1,0,5,2,3,4,1)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<sst xmlns="http://schemas.openxmlformats.org/spreadsheetml/2006/main" count="1524" uniqueCount="64">
  <si>
    <t>Account</t>
  </si>
  <si>
    <t>Date</t>
  </si>
  <si>
    <t>Description</t>
  </si>
  <si>
    <t>Debit</t>
  </si>
  <si>
    <t>Credit</t>
  </si>
  <si>
    <t>Amount</t>
  </si>
  <si>
    <t>Sub-category</t>
  </si>
  <si>
    <t>Category</t>
  </si>
  <si>
    <t>Category Type</t>
  </si>
  <si>
    <t>Checking</t>
  </si>
  <si>
    <t>ACME Pty Ltd</t>
  </si>
  <si>
    <t>Salary</t>
  </si>
  <si>
    <t>Ground</t>
  </si>
  <si>
    <t>Coffee</t>
  </si>
  <si>
    <t>Estate Mgt.</t>
  </si>
  <si>
    <t>Rent</t>
  </si>
  <si>
    <t>Finance Co.</t>
  </si>
  <si>
    <t>MV Loan</t>
  </si>
  <si>
    <t>Green's</t>
  </si>
  <si>
    <t>Groceries</t>
  </si>
  <si>
    <t>Elec. Co.</t>
  </si>
  <si>
    <t>Gas/Electrics</t>
  </si>
  <si>
    <t>Fuel. Co</t>
  </si>
  <si>
    <t>MV Fuel</t>
  </si>
  <si>
    <t>Event Cinemas</t>
  </si>
  <si>
    <t>Entertainment</t>
  </si>
  <si>
    <t>Fashionistas</t>
  </si>
  <si>
    <t>Clothes</t>
  </si>
  <si>
    <t>Joe's Grill</t>
  </si>
  <si>
    <t>Restaurant</t>
  </si>
  <si>
    <t>Taxi Co.</t>
  </si>
  <si>
    <t>Taxi</t>
  </si>
  <si>
    <t>Muscle Beach</t>
  </si>
  <si>
    <t>Gym</t>
  </si>
  <si>
    <t>Smile Dental</t>
  </si>
  <si>
    <t>Dentist</t>
  </si>
  <si>
    <t>Phone Co.</t>
  </si>
  <si>
    <t>Phone</t>
  </si>
  <si>
    <t>Sam's Gifts</t>
  </si>
  <si>
    <t>Gifts</t>
  </si>
  <si>
    <t>Streaming Co.</t>
  </si>
  <si>
    <t>Pizza Pomodoro</t>
  </si>
  <si>
    <t>Golden Arches</t>
  </si>
  <si>
    <t>Worldvision</t>
  </si>
  <si>
    <t>Donation</t>
  </si>
  <si>
    <t>Ted's Trainers</t>
  </si>
  <si>
    <t>Ticketek</t>
  </si>
  <si>
    <t>Global Fashion</t>
  </si>
  <si>
    <t>Village Medical</t>
  </si>
  <si>
    <t>Doctor</t>
  </si>
  <si>
    <t>Sports Co.</t>
  </si>
  <si>
    <t>Foodary</t>
  </si>
  <si>
    <t>BW Club</t>
  </si>
  <si>
    <t>Home Decorator</t>
  </si>
  <si>
    <t>Furnishings</t>
  </si>
  <si>
    <t>Fodary</t>
  </si>
  <si>
    <t>Discretionary</t>
  </si>
  <si>
    <t>Expense</t>
  </si>
  <si>
    <t>Dining Out</t>
  </si>
  <si>
    <t>Medical</t>
  </si>
  <si>
    <t>Charity</t>
  </si>
  <si>
    <t>Living Expenses</t>
  </si>
  <si>
    <t>Transport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</si>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</sst>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F800]dddd\,\ mmmm\ dd\,\ yyyy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180" fontId="0" fillId="0" borderId="0" xfId="0" applyNumberFormat="1"/>
    <xf numFmtId="0" fontId="0" fillId="2" borderId="0" xfId="0" applyFill="1"/>
    <xf numFmtId="0" fontId="1" fillId="2" borderId="1" xfId="0" applyFont="1" applyFill="1" applyBorder="1"/>
    <xf numFmtId="181" fontId="0" fillId="0" borderId="0" xfId="0" applyNumberFormat="1"/>
    <xf numFmtId="0" fontId="0" fillId="3" borderId="0" xfId="0" applyFill="1"/>
    <xf numFmtId="0" fontId="0" fillId="3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182" formatCode="d/mm/yyyy"/>
    </dxf>
    <dxf>
      <numFmt numFmtId="0" formatCode="General"/>
      <fill>
        <patternFill patternType="solid">
          <bgColor theme="9" tint="0.799981688894314"/>
        </patternFill>
      </fill>
    </dxf>
    <dxf>
      <fill>
        <patternFill patternType="solid">
          <bgColor theme="9" tint="0.799981688894314"/>
        </patternFill>
      </fill>
    </dxf>
    <dxf>
      <numFmt numFmtId="0" formatCode="General"/>
      <fill>
        <patternFill patternType="solid">
          <bgColor theme="9" tint="0.799981688894314"/>
        </patternFill>
      </fill>
    </dxf>
    <dxf>
      <numFmt numFmtId="0" formatCode="General"/>
      <fill>
        <patternFill patternType="solid">
          <bgColor theme="9" tint="0.799981688894314"/>
        </patternFill>
      </fill>
    </dxf>
    <dxf>
      <font>
        <color theme="1" tint="0.249946592608417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NoFillBackground" pivot="0" table="0" count="10" xr9:uid="{A327B606-6F9D-4E29-8231-B2755DE0667C}">
      <tableStyleElement type="wholeTable" dxfId="6"/>
      <tableStyleElement type="headerRow" dxfId="5"/>
    </tableStyle>
  </tableStyles>
  <colors>
    <mruColors>
      <color rgb="0058487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NoFillBackground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website_myonlinetraininghub_com\Documents\Blog%20Posts\Excel%20Dashboard%20Share%20Portfolio\excel_share_portfolio_dashbo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pyright"/>
      <sheetName val="Dashboard"/>
      <sheetName val="Ledger"/>
      <sheetName val="Watch List"/>
      <sheetName val="ASB"/>
      <sheetName val="BLD"/>
      <sheetName val="More Resourc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id="1" name="Transactions" displayName="Transactions" ref="A1:I487" totalsRowShown="0">
  <autoFilter xmlns:etc="http://www.wps.cn/officeDocument/2017/etCustomData" ref="A1:I487" etc:filterBottomFollowUsedRange="0"/>
  <tableColumns count="9">
    <tableColumn id="1" name="Account"/>
    <tableColumn id="2" name="Date" dataDxfId="0"/>
    <tableColumn id="3" name="Description"/>
    <tableColumn id="4" name="Debit"/>
    <tableColumn id="5" name="Credit"/>
    <tableColumn id="9" name="Amount" dataDxfId="1">
      <calculatedColumnFormula>E2-D2</calculatedColumnFormula>
    </tableColumn>
    <tableColumn id="6" name="Sub-category" dataDxfId="2"/>
    <tableColumn id="7" name="Category" dataDxfId="3">
      <calculatedColumnFormula>_xlfn.XLOOKUP(Transactions[[#This Row],[Sub-category]],TblDV[Sub-category],TblDV[Category],"")</calculatedColumnFormula>
    </tableColumn>
    <tableColumn id="8" name="Category Type" dataDxfId="4">
      <calculatedColumnFormula>_xlfn.XLOOKUP(Transactions[[#This Row],[Sub-category]],TblDV[Sub-category],TblDV[Category Type],"")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blDV" displayName="TblDV" ref="B1:D19" totalsRowShown="0">
  <autoFilter xmlns:etc="http://www.wps.cn/officeDocument/2017/etCustomData" ref="B1:D19" etc:filterBottomFollowUsedRange="0"/>
  <tableColumns count="3">
    <tableColumn id="1" name="Sub-category"/>
    <tableColumn id="2" name="Category"/>
    <tableColumn id="3" name="Category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487"/>
  <sheetViews>
    <sheetView showGridLines="0" tabSelected="1" workbookViewId="0">
      <selection activeCell="F15" sqref="F15"/>
    </sheetView>
  </sheetViews>
  <sheetFormatPr defaultColWidth="9" defaultRowHeight="14.4"/>
  <cols>
    <col min="1" max="1" width="13" customWidth="1"/>
    <col min="2" max="2" width="10.712962962963" style="2" customWidth="1"/>
    <col min="3" max="3" width="16.1388888888889" customWidth="1"/>
    <col min="4" max="4" width="11.287037037037" customWidth="1"/>
    <col min="6" max="8" width="15" customWidth="1"/>
    <col min="9" max="9" width="16" customWidth="1"/>
    <col min="16" max="16" width="13.712962962963" customWidth="1"/>
    <col min="17" max="21" width="15.1388888888889" customWidth="1"/>
    <col min="22" max="23" width="11.287037037037" customWidth="1"/>
    <col min="24" max="26" width="10.712962962963" customWidth="1"/>
    <col min="27" max="27" width="11.287037037037" customWidth="1"/>
    <col min="28" max="41" width="10.1388888888889" customWidth="1"/>
    <col min="42" max="42" width="8.71296296296296" customWidth="1"/>
    <col min="43" max="68" width="7" customWidth="1"/>
    <col min="69" max="69" width="9.13888888888889" customWidth="1"/>
    <col min="70" max="98" width="7.28703703703704" customWidth="1"/>
    <col min="99" max="99" width="9.42592592592593" customWidth="1"/>
    <col min="100" max="127" width="6.85185185185185" customWidth="1"/>
    <col min="128" max="128" width="9" customWidth="1"/>
    <col min="129" max="156" width="7.57407407407407" customWidth="1"/>
    <col min="157" max="157" width="9.71296296296296" customWidth="1"/>
    <col min="158" max="184" width="6.71296296296296" customWidth="1"/>
    <col min="185" max="185" width="8.85185185185185" customWidth="1"/>
    <col min="186" max="213" width="6.28703703703704" customWidth="1"/>
    <col min="214" max="214" width="8.28703703703704" customWidth="1"/>
    <col min="215" max="241" width="7.13888888888889" customWidth="1"/>
    <col min="242" max="242" width="9.28703703703704" customWidth="1"/>
    <col min="243" max="268" width="7" customWidth="1"/>
    <col min="269" max="269" width="9.13888888888889" customWidth="1"/>
    <col min="270" max="296" width="6.71296296296296" customWidth="1"/>
    <col min="297" max="297" width="8.85185185185185" customWidth="1"/>
    <col min="298" max="299" width="6.42592592592593" customWidth="1"/>
    <col min="300" max="300" width="9.42592592592593" customWidth="1"/>
    <col min="301" max="301" width="11.287037037037" customWidth="1"/>
  </cols>
  <sheetData>
    <row r="1" spans="1:9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3" t="s">
        <v>5</v>
      </c>
      <c r="G1" s="4" t="s">
        <v>6</v>
      </c>
      <c r="H1" s="4" t="s">
        <v>7</v>
      </c>
      <c r="I1" s="3" t="s">
        <v>8</v>
      </c>
    </row>
    <row r="2" spans="1:9">
      <c r="A2" t="s">
        <v>9</v>
      </c>
      <c r="B2" s="5">
        <v>44200</v>
      </c>
      <c r="C2" t="s">
        <v>10</v>
      </c>
      <c r="E2">
        <v>4000</v>
      </c>
      <c r="F2" s="6">
        <f t="shared" ref="F2:F65" si="0">E2-D2</f>
        <v>4000</v>
      </c>
      <c r="G2" s="6" t="s">
        <v>11</v>
      </c>
      <c r="H2" s="6" t="str">
        <f>_xlfn.XLOOKUP(Transactions[[#This Row],[Sub-category]],TblDV[Sub-category],TblDV[Category],"")</f>
        <v>Salary</v>
      </c>
      <c r="I2" s="6" t="str">
        <f>_xlfn.XLOOKUP(Transactions[[#This Row],[Sub-category]],TblDV[Sub-category],TblDV[Category Type],"")</f>
        <v>Income</v>
      </c>
    </row>
    <row r="3" spans="1:9">
      <c r="A3" t="s">
        <v>4</v>
      </c>
      <c r="B3" s="5">
        <v>44200</v>
      </c>
      <c r="C3" t="s">
        <v>12</v>
      </c>
      <c r="D3">
        <v>5</v>
      </c>
      <c r="F3" s="6">
        <f t="shared" si="0"/>
        <v>-5</v>
      </c>
      <c r="G3" s="6" t="s">
        <v>13</v>
      </c>
      <c r="H3" s="6" t="str">
        <f>_xlfn.XLOOKUP(Transactions[[#This Row],[Sub-category]],TblDV[Sub-category],TblDV[Category],"")</f>
        <v>Dining Out</v>
      </c>
      <c r="I3" s="6" t="str">
        <f>_xlfn.XLOOKUP(Transactions[[#This Row],[Sub-category]],TblDV[Sub-category],TblDV[Category Type],"")</f>
        <v>Expense</v>
      </c>
    </row>
    <row r="4" spans="1:9">
      <c r="A4" t="s">
        <v>9</v>
      </c>
      <c r="B4" s="5">
        <v>44201</v>
      </c>
      <c r="C4" t="s">
        <v>14</v>
      </c>
      <c r="D4">
        <v>900</v>
      </c>
      <c r="F4" s="6">
        <f t="shared" si="0"/>
        <v>-900</v>
      </c>
      <c r="G4" s="6" t="s">
        <v>15</v>
      </c>
      <c r="H4" s="6" t="str">
        <f>_xlfn.XLOOKUP(Transactions[[#This Row],[Sub-category]],TblDV[Sub-category],TblDV[Category],"")</f>
        <v>Living Expenses</v>
      </c>
      <c r="I4" s="6" t="str">
        <f>_xlfn.XLOOKUP(Transactions[[#This Row],[Sub-category]],TblDV[Sub-category],TblDV[Category Type],"")</f>
        <v>Expense</v>
      </c>
    </row>
    <row r="5" spans="1:9">
      <c r="A5" t="s">
        <v>9</v>
      </c>
      <c r="B5" s="5">
        <v>44201</v>
      </c>
      <c r="C5" t="s">
        <v>16</v>
      </c>
      <c r="D5">
        <v>150</v>
      </c>
      <c r="F5" s="6">
        <f t="shared" si="0"/>
        <v>-150</v>
      </c>
      <c r="G5" s="6" t="s">
        <v>17</v>
      </c>
      <c r="H5" s="6" t="str">
        <f>_xlfn.XLOOKUP(Transactions[[#This Row],[Sub-category]],TblDV[Sub-category],TblDV[Category],"")</f>
        <v>Transport</v>
      </c>
      <c r="I5" s="6" t="str">
        <f>_xlfn.XLOOKUP(Transactions[[#This Row],[Sub-category]],TblDV[Sub-category],TblDV[Category Type],"")</f>
        <v>Expense</v>
      </c>
    </row>
    <row r="6" spans="1:9">
      <c r="A6" t="s">
        <v>4</v>
      </c>
      <c r="B6" s="5">
        <v>44201</v>
      </c>
      <c r="C6" t="s">
        <v>12</v>
      </c>
      <c r="D6">
        <v>5</v>
      </c>
      <c r="F6" s="6">
        <f t="shared" si="0"/>
        <v>-5</v>
      </c>
      <c r="G6" s="6" t="s">
        <v>13</v>
      </c>
      <c r="H6" s="6" t="str">
        <f>_xlfn.XLOOKUP(Transactions[[#This Row],[Sub-category]],TblDV[Sub-category],TblDV[Category],"")</f>
        <v>Dining Out</v>
      </c>
      <c r="I6" s="6" t="str">
        <f>_xlfn.XLOOKUP(Transactions[[#This Row],[Sub-category]],TblDV[Sub-category],TblDV[Category Type],"")</f>
        <v>Expense</v>
      </c>
    </row>
    <row r="7" spans="1:9">
      <c r="A7" t="s">
        <v>4</v>
      </c>
      <c r="B7" s="5">
        <v>44202</v>
      </c>
      <c r="C7" t="s">
        <v>12</v>
      </c>
      <c r="D7">
        <v>5</v>
      </c>
      <c r="F7" s="6">
        <f t="shared" si="0"/>
        <v>-5</v>
      </c>
      <c r="G7" s="6" t="s">
        <v>13</v>
      </c>
      <c r="H7" s="6" t="str">
        <f>_xlfn.XLOOKUP(Transactions[[#This Row],[Sub-category]],TblDV[Sub-category],TblDV[Category],"")</f>
        <v>Dining Out</v>
      </c>
      <c r="I7" s="6" t="str">
        <f>_xlfn.XLOOKUP(Transactions[[#This Row],[Sub-category]],TblDV[Sub-category],TblDV[Category Type],"")</f>
        <v>Expense</v>
      </c>
    </row>
    <row r="8" spans="1:9">
      <c r="A8" t="s">
        <v>4</v>
      </c>
      <c r="B8" s="5">
        <v>44203</v>
      </c>
      <c r="C8" t="s">
        <v>12</v>
      </c>
      <c r="D8">
        <v>5</v>
      </c>
      <c r="F8" s="6">
        <f t="shared" si="0"/>
        <v>-5</v>
      </c>
      <c r="G8" s="6" t="s">
        <v>13</v>
      </c>
      <c r="H8" s="6" t="str">
        <f>_xlfn.XLOOKUP(Transactions[[#This Row],[Sub-category]],TblDV[Sub-category],TblDV[Category],"")</f>
        <v>Dining Out</v>
      </c>
      <c r="I8" s="6" t="str">
        <f>_xlfn.XLOOKUP(Transactions[[#This Row],[Sub-category]],TblDV[Sub-category],TblDV[Category Type],"")</f>
        <v>Expense</v>
      </c>
    </row>
    <row r="9" spans="1:9">
      <c r="A9" t="s">
        <v>4</v>
      </c>
      <c r="B9" s="5">
        <v>44204</v>
      </c>
      <c r="C9" t="s">
        <v>12</v>
      </c>
      <c r="D9">
        <v>5</v>
      </c>
      <c r="F9" s="6">
        <f t="shared" si="0"/>
        <v>-5</v>
      </c>
      <c r="G9" s="6" t="s">
        <v>13</v>
      </c>
      <c r="H9" s="6" t="str">
        <f>_xlfn.XLOOKUP(Transactions[[#This Row],[Sub-category]],TblDV[Sub-category],TblDV[Category],"")</f>
        <v>Dining Out</v>
      </c>
      <c r="I9" s="6" t="str">
        <f>_xlfn.XLOOKUP(Transactions[[#This Row],[Sub-category]],TblDV[Sub-category],TblDV[Category Type],"")</f>
        <v>Expense</v>
      </c>
    </row>
    <row r="10" spans="1:9">
      <c r="A10" t="s">
        <v>4</v>
      </c>
      <c r="B10" s="5">
        <v>44204</v>
      </c>
      <c r="C10" t="s">
        <v>18</v>
      </c>
      <c r="D10">
        <v>155</v>
      </c>
      <c r="F10" s="6">
        <f t="shared" si="0"/>
        <v>-155</v>
      </c>
      <c r="G10" s="6" t="s">
        <v>19</v>
      </c>
      <c r="H10" s="6" t="str">
        <f>_xlfn.XLOOKUP(Transactions[[#This Row],[Sub-category]],TblDV[Sub-category],TblDV[Category],"")</f>
        <v>Living Expenses</v>
      </c>
      <c r="I10" s="6" t="str">
        <f>_xlfn.XLOOKUP(Transactions[[#This Row],[Sub-category]],TblDV[Sub-category],TblDV[Category Type],"")</f>
        <v>Expense</v>
      </c>
    </row>
    <row r="11" spans="1:9">
      <c r="A11" t="s">
        <v>9</v>
      </c>
      <c r="B11" s="5">
        <v>44207</v>
      </c>
      <c r="C11" t="s">
        <v>20</v>
      </c>
      <c r="D11">
        <v>50</v>
      </c>
      <c r="F11" s="6">
        <f t="shared" si="0"/>
        <v>-50</v>
      </c>
      <c r="G11" s="6" t="s">
        <v>21</v>
      </c>
      <c r="H11" s="6" t="str">
        <f>_xlfn.XLOOKUP(Transactions[[#This Row],[Sub-category]],TblDV[Sub-category],TblDV[Category],"")</f>
        <v>Living Expenses</v>
      </c>
      <c r="I11" s="6" t="str">
        <f>_xlfn.XLOOKUP(Transactions[[#This Row],[Sub-category]],TblDV[Sub-category],TblDV[Category Type],"")</f>
        <v>Expense</v>
      </c>
    </row>
    <row r="12" spans="1:9">
      <c r="A12" t="s">
        <v>4</v>
      </c>
      <c r="B12" s="5">
        <v>44207</v>
      </c>
      <c r="C12" t="s">
        <v>12</v>
      </c>
      <c r="D12">
        <v>5</v>
      </c>
      <c r="F12" s="6">
        <f t="shared" si="0"/>
        <v>-5</v>
      </c>
      <c r="G12" s="6" t="s">
        <v>13</v>
      </c>
      <c r="H12" s="6" t="str">
        <f>_xlfn.XLOOKUP(Transactions[[#This Row],[Sub-category]],TblDV[Sub-category],TblDV[Category],"")</f>
        <v>Dining Out</v>
      </c>
      <c r="I12" s="6" t="str">
        <f>_xlfn.XLOOKUP(Transactions[[#This Row],[Sub-category]],TblDV[Sub-category],TblDV[Category Type],"")</f>
        <v>Expense</v>
      </c>
    </row>
    <row r="13" spans="1:9">
      <c r="A13" t="s">
        <v>4</v>
      </c>
      <c r="B13" s="5">
        <v>44208</v>
      </c>
      <c r="C13" t="s">
        <v>12</v>
      </c>
      <c r="D13">
        <v>5</v>
      </c>
      <c r="F13" s="6">
        <f t="shared" si="0"/>
        <v>-5</v>
      </c>
      <c r="G13" s="6" t="s">
        <v>13</v>
      </c>
      <c r="H13" s="6" t="str">
        <f>_xlfn.XLOOKUP(Transactions[[#This Row],[Sub-category]],TblDV[Sub-category],TblDV[Category],"")</f>
        <v>Dining Out</v>
      </c>
      <c r="I13" s="6" t="str">
        <f>_xlfn.XLOOKUP(Transactions[[#This Row],[Sub-category]],TblDV[Sub-category],TblDV[Category Type],"")</f>
        <v>Expense</v>
      </c>
    </row>
    <row r="14" spans="1:9">
      <c r="A14" t="s">
        <v>4</v>
      </c>
      <c r="B14" s="5">
        <v>44209</v>
      </c>
      <c r="C14" t="s">
        <v>22</v>
      </c>
      <c r="D14">
        <v>77</v>
      </c>
      <c r="F14" s="6">
        <f t="shared" si="0"/>
        <v>-77</v>
      </c>
      <c r="G14" s="6" t="s">
        <v>23</v>
      </c>
      <c r="H14" s="6" t="str">
        <f>_xlfn.XLOOKUP(Transactions[[#This Row],[Sub-category]],TblDV[Sub-category],TblDV[Category],"")</f>
        <v>Transport</v>
      </c>
      <c r="I14" s="6" t="str">
        <f>_xlfn.XLOOKUP(Transactions[[#This Row],[Sub-category]],TblDV[Sub-category],TblDV[Category Type],"")</f>
        <v>Expense</v>
      </c>
    </row>
    <row r="15" spans="1:9">
      <c r="A15" t="s">
        <v>4</v>
      </c>
      <c r="B15" s="5">
        <v>44209</v>
      </c>
      <c r="C15" t="s">
        <v>12</v>
      </c>
      <c r="D15">
        <v>5</v>
      </c>
      <c r="F15" s="6">
        <f t="shared" si="0"/>
        <v>-5</v>
      </c>
      <c r="G15" s="6" t="s">
        <v>13</v>
      </c>
      <c r="H15" s="6" t="str">
        <f>_xlfn.XLOOKUP(Transactions[[#This Row],[Sub-category]],TblDV[Sub-category],TblDV[Category],"")</f>
        <v>Dining Out</v>
      </c>
      <c r="I15" s="6" t="str">
        <f>_xlfn.XLOOKUP(Transactions[[#This Row],[Sub-category]],TblDV[Sub-category],TblDV[Category Type],"")</f>
        <v>Expense</v>
      </c>
    </row>
    <row r="16" spans="1:9">
      <c r="A16" t="s">
        <v>4</v>
      </c>
      <c r="B16" s="5">
        <v>44210</v>
      </c>
      <c r="C16" t="s">
        <v>12</v>
      </c>
      <c r="D16">
        <v>5</v>
      </c>
      <c r="F16" s="6">
        <f t="shared" si="0"/>
        <v>-5</v>
      </c>
      <c r="G16" s="6" t="s">
        <v>13</v>
      </c>
      <c r="H16" s="6" t="str">
        <f>_xlfn.XLOOKUP(Transactions[[#This Row],[Sub-category]],TblDV[Sub-category],TblDV[Category],"")</f>
        <v>Dining Out</v>
      </c>
      <c r="I16" s="6" t="str">
        <f>_xlfn.XLOOKUP(Transactions[[#This Row],[Sub-category]],TblDV[Sub-category],TblDV[Category Type],"")</f>
        <v>Expense</v>
      </c>
    </row>
    <row r="17" spans="1:9">
      <c r="A17" t="s">
        <v>4</v>
      </c>
      <c r="B17" s="5">
        <v>44211</v>
      </c>
      <c r="C17" t="s">
        <v>18</v>
      </c>
      <c r="D17">
        <v>135</v>
      </c>
      <c r="F17" s="6">
        <f t="shared" si="0"/>
        <v>-135</v>
      </c>
      <c r="G17" s="6" t="s">
        <v>19</v>
      </c>
      <c r="H17" s="6" t="str">
        <f>_xlfn.XLOOKUP(Transactions[[#This Row],[Sub-category]],TblDV[Sub-category],TblDV[Category],"")</f>
        <v>Living Expenses</v>
      </c>
      <c r="I17" s="6" t="str">
        <f>_xlfn.XLOOKUP(Transactions[[#This Row],[Sub-category]],TblDV[Sub-category],TblDV[Category Type],"")</f>
        <v>Expense</v>
      </c>
    </row>
    <row r="18" spans="1:9">
      <c r="A18" t="s">
        <v>4</v>
      </c>
      <c r="B18" s="5">
        <v>44211</v>
      </c>
      <c r="C18" t="s">
        <v>12</v>
      </c>
      <c r="D18">
        <v>5</v>
      </c>
      <c r="F18" s="6">
        <f t="shared" si="0"/>
        <v>-5</v>
      </c>
      <c r="G18" s="6" t="s">
        <v>13</v>
      </c>
      <c r="H18" s="6" t="str">
        <f>_xlfn.XLOOKUP(Transactions[[#This Row],[Sub-category]],TblDV[Sub-category],TblDV[Category],"")</f>
        <v>Dining Out</v>
      </c>
      <c r="I18" s="6" t="str">
        <f>_xlfn.XLOOKUP(Transactions[[#This Row],[Sub-category]],TblDV[Sub-category],TblDV[Category Type],"")</f>
        <v>Expense</v>
      </c>
    </row>
    <row r="19" spans="1:9">
      <c r="A19" t="s">
        <v>4</v>
      </c>
      <c r="B19" s="5">
        <v>44212</v>
      </c>
      <c r="C19" t="s">
        <v>12</v>
      </c>
      <c r="D19">
        <v>5</v>
      </c>
      <c r="F19" s="6">
        <f t="shared" si="0"/>
        <v>-5</v>
      </c>
      <c r="G19" s="6" t="s">
        <v>13</v>
      </c>
      <c r="H19" s="6" t="str">
        <f>_xlfn.XLOOKUP(Transactions[[#This Row],[Sub-category]],TblDV[Sub-category],TblDV[Category],"")</f>
        <v>Dining Out</v>
      </c>
      <c r="I19" s="6" t="str">
        <f>_xlfn.XLOOKUP(Transactions[[#This Row],[Sub-category]],TblDV[Sub-category],TblDV[Category Type],"")</f>
        <v>Expense</v>
      </c>
    </row>
    <row r="20" spans="1:9">
      <c r="A20" t="s">
        <v>4</v>
      </c>
      <c r="B20" s="5">
        <v>44212</v>
      </c>
      <c r="C20" t="s">
        <v>24</v>
      </c>
      <c r="D20">
        <v>40</v>
      </c>
      <c r="F20" s="6">
        <f t="shared" si="0"/>
        <v>-40</v>
      </c>
      <c r="G20" s="6" t="s">
        <v>25</v>
      </c>
      <c r="H20" s="6" t="str">
        <f>_xlfn.XLOOKUP(Transactions[[#This Row],[Sub-category]],TblDV[Sub-category],TblDV[Category],"")</f>
        <v>Discretionary</v>
      </c>
      <c r="I20" s="6" t="str">
        <f>_xlfn.XLOOKUP(Transactions[[#This Row],[Sub-category]],TblDV[Sub-category],TblDV[Category Type],"")</f>
        <v>Expense</v>
      </c>
    </row>
    <row r="21" spans="1:9">
      <c r="A21" t="s">
        <v>4</v>
      </c>
      <c r="B21" s="5">
        <v>44212</v>
      </c>
      <c r="C21" t="s">
        <v>26</v>
      </c>
      <c r="D21">
        <v>98</v>
      </c>
      <c r="F21" s="6">
        <f t="shared" si="0"/>
        <v>-98</v>
      </c>
      <c r="G21" s="6" t="s">
        <v>27</v>
      </c>
      <c r="H21" s="6" t="str">
        <f>_xlfn.XLOOKUP(Transactions[[#This Row],[Sub-category]],TblDV[Sub-category],TblDV[Category],"")</f>
        <v>Discretionary</v>
      </c>
      <c r="I21" s="6" t="str">
        <f>_xlfn.XLOOKUP(Transactions[[#This Row],[Sub-category]],TblDV[Sub-category],TblDV[Category Type],"")</f>
        <v>Expense</v>
      </c>
    </row>
    <row r="22" spans="1:9">
      <c r="A22" t="s">
        <v>4</v>
      </c>
      <c r="B22" s="5">
        <v>44212</v>
      </c>
      <c r="C22" t="s">
        <v>28</v>
      </c>
      <c r="D22">
        <v>52</v>
      </c>
      <c r="F22" s="6">
        <f t="shared" si="0"/>
        <v>-52</v>
      </c>
      <c r="G22" s="6" t="s">
        <v>29</v>
      </c>
      <c r="H22" s="6" t="str">
        <f>_xlfn.XLOOKUP(Transactions[[#This Row],[Sub-category]],TblDV[Sub-category],TblDV[Category],"")</f>
        <v>Dining Out</v>
      </c>
      <c r="I22" s="6" t="str">
        <f>_xlfn.XLOOKUP(Transactions[[#This Row],[Sub-category]],TblDV[Sub-category],TblDV[Category Type],"")</f>
        <v>Expense</v>
      </c>
    </row>
    <row r="23" spans="1:9">
      <c r="A23" t="s">
        <v>4</v>
      </c>
      <c r="B23" s="5">
        <v>44213</v>
      </c>
      <c r="C23" t="s">
        <v>30</v>
      </c>
      <c r="D23">
        <v>28</v>
      </c>
      <c r="F23" s="6">
        <f t="shared" si="0"/>
        <v>-28</v>
      </c>
      <c r="G23" s="6" t="s">
        <v>31</v>
      </c>
      <c r="H23" s="6" t="str">
        <f>_xlfn.XLOOKUP(Transactions[[#This Row],[Sub-category]],TblDV[Sub-category],TblDV[Category],"")</f>
        <v>Transport</v>
      </c>
      <c r="I23" s="6" t="str">
        <f>_xlfn.XLOOKUP(Transactions[[#This Row],[Sub-category]],TblDV[Sub-category],TblDV[Category Type],"")</f>
        <v>Expense</v>
      </c>
    </row>
    <row r="24" spans="1:9">
      <c r="A24" t="s">
        <v>9</v>
      </c>
      <c r="B24" s="5">
        <v>44214</v>
      </c>
      <c r="C24" t="s">
        <v>32</v>
      </c>
      <c r="D24">
        <v>30</v>
      </c>
      <c r="F24" s="6">
        <f t="shared" si="0"/>
        <v>-30</v>
      </c>
      <c r="G24" s="6" t="s">
        <v>33</v>
      </c>
      <c r="H24" s="6" t="str">
        <f>_xlfn.XLOOKUP(Transactions[[#This Row],[Sub-category]],TblDV[Sub-category],TblDV[Category],"")</f>
        <v>Discretionary</v>
      </c>
      <c r="I24" s="6" t="str">
        <f>_xlfn.XLOOKUP(Transactions[[#This Row],[Sub-category]],TblDV[Sub-category],TblDV[Category Type],"")</f>
        <v>Expense</v>
      </c>
    </row>
    <row r="25" spans="1:9">
      <c r="A25" t="s">
        <v>4</v>
      </c>
      <c r="B25" s="5">
        <v>44214</v>
      </c>
      <c r="C25" t="s">
        <v>12</v>
      </c>
      <c r="D25">
        <v>5</v>
      </c>
      <c r="F25" s="6">
        <f t="shared" si="0"/>
        <v>-5</v>
      </c>
      <c r="G25" s="6" t="s">
        <v>13</v>
      </c>
      <c r="H25" s="6" t="str">
        <f>_xlfn.XLOOKUP(Transactions[[#This Row],[Sub-category]],TblDV[Sub-category],TblDV[Category],"")</f>
        <v>Dining Out</v>
      </c>
      <c r="I25" s="6" t="str">
        <f>_xlfn.XLOOKUP(Transactions[[#This Row],[Sub-category]],TblDV[Sub-category],TblDV[Category Type],"")</f>
        <v>Expense</v>
      </c>
    </row>
    <row r="26" spans="1:9">
      <c r="A26" t="s">
        <v>4</v>
      </c>
      <c r="B26" s="5">
        <v>44215</v>
      </c>
      <c r="C26" t="s">
        <v>12</v>
      </c>
      <c r="D26">
        <v>5</v>
      </c>
      <c r="F26" s="6">
        <f t="shared" si="0"/>
        <v>-5</v>
      </c>
      <c r="G26" s="6" t="s">
        <v>13</v>
      </c>
      <c r="H26" s="6" t="str">
        <f>_xlfn.XLOOKUP(Transactions[[#This Row],[Sub-category]],TblDV[Sub-category],TblDV[Category],"")</f>
        <v>Dining Out</v>
      </c>
      <c r="I26" s="6" t="str">
        <f>_xlfn.XLOOKUP(Transactions[[#This Row],[Sub-category]],TblDV[Sub-category],TblDV[Category Type],"")</f>
        <v>Expense</v>
      </c>
    </row>
    <row r="27" spans="1:9">
      <c r="A27" t="s">
        <v>9</v>
      </c>
      <c r="B27" s="5">
        <v>44215</v>
      </c>
      <c r="C27" t="s">
        <v>34</v>
      </c>
      <c r="D27">
        <v>154</v>
      </c>
      <c r="F27" s="6">
        <f t="shared" si="0"/>
        <v>-154</v>
      </c>
      <c r="G27" s="6" t="s">
        <v>35</v>
      </c>
      <c r="H27" s="6" t="str">
        <f>_xlfn.XLOOKUP(Transactions[[#This Row],[Sub-category]],TblDV[Sub-category],TblDV[Category],"")</f>
        <v>Medical</v>
      </c>
      <c r="I27" s="6" t="str">
        <f>_xlfn.XLOOKUP(Transactions[[#This Row],[Sub-category]],TblDV[Sub-category],TblDV[Category Type],"")</f>
        <v>Expense</v>
      </c>
    </row>
    <row r="28" spans="1:9">
      <c r="A28" t="s">
        <v>9</v>
      </c>
      <c r="B28" s="5">
        <v>44215</v>
      </c>
      <c r="C28" t="s">
        <v>36</v>
      </c>
      <c r="D28">
        <v>40</v>
      </c>
      <c r="F28" s="6">
        <f t="shared" si="0"/>
        <v>-40</v>
      </c>
      <c r="G28" s="6" t="s">
        <v>37</v>
      </c>
      <c r="H28" s="6" t="str">
        <f>_xlfn.XLOOKUP(Transactions[[#This Row],[Sub-category]],TblDV[Sub-category],TblDV[Category],"")</f>
        <v>Living Expenses</v>
      </c>
      <c r="I28" s="6" t="str">
        <f>_xlfn.XLOOKUP(Transactions[[#This Row],[Sub-category]],TblDV[Sub-category],TblDV[Category Type],"")</f>
        <v>Expense</v>
      </c>
    </row>
    <row r="29" spans="1:9">
      <c r="A29" t="s">
        <v>4</v>
      </c>
      <c r="B29" s="5">
        <v>44216</v>
      </c>
      <c r="C29" t="s">
        <v>38</v>
      </c>
      <c r="D29">
        <v>45</v>
      </c>
      <c r="F29" s="6">
        <f t="shared" si="0"/>
        <v>-45</v>
      </c>
      <c r="G29" s="6" t="s">
        <v>39</v>
      </c>
      <c r="H29" s="6" t="str">
        <f>_xlfn.XLOOKUP(Transactions[[#This Row],[Sub-category]],TblDV[Sub-category],TblDV[Category],"")</f>
        <v>Discretionary</v>
      </c>
      <c r="I29" s="6" t="str">
        <f>_xlfn.XLOOKUP(Transactions[[#This Row],[Sub-category]],TblDV[Sub-category],TblDV[Category Type],"")</f>
        <v>Expense</v>
      </c>
    </row>
    <row r="30" spans="1:9">
      <c r="A30" t="s">
        <v>4</v>
      </c>
      <c r="B30" s="5">
        <v>44216</v>
      </c>
      <c r="C30" t="s">
        <v>40</v>
      </c>
      <c r="D30">
        <v>32</v>
      </c>
      <c r="F30" s="6">
        <f t="shared" si="0"/>
        <v>-32</v>
      </c>
      <c r="G30" s="6" t="s">
        <v>25</v>
      </c>
      <c r="H30" s="6" t="str">
        <f>_xlfn.XLOOKUP(Transactions[[#This Row],[Sub-category]],TblDV[Sub-category],TblDV[Category],"")</f>
        <v>Discretionary</v>
      </c>
      <c r="I30" s="6" t="str">
        <f>_xlfn.XLOOKUP(Transactions[[#This Row],[Sub-category]],TblDV[Sub-category],TblDV[Category Type],"")</f>
        <v>Expense</v>
      </c>
    </row>
    <row r="31" spans="1:9">
      <c r="A31" t="s">
        <v>4</v>
      </c>
      <c r="B31" s="5">
        <v>44216</v>
      </c>
      <c r="C31" t="s">
        <v>12</v>
      </c>
      <c r="D31">
        <v>5</v>
      </c>
      <c r="F31" s="6">
        <f t="shared" si="0"/>
        <v>-5</v>
      </c>
      <c r="G31" s="6" t="s">
        <v>13</v>
      </c>
      <c r="H31" s="6" t="str">
        <f>_xlfn.XLOOKUP(Transactions[[#This Row],[Sub-category]],TblDV[Sub-category],TblDV[Category],"")</f>
        <v>Dining Out</v>
      </c>
      <c r="I31" s="6" t="str">
        <f>_xlfn.XLOOKUP(Transactions[[#This Row],[Sub-category]],TblDV[Sub-category],TblDV[Category Type],"")</f>
        <v>Expense</v>
      </c>
    </row>
    <row r="32" spans="1:9">
      <c r="A32" t="s">
        <v>4</v>
      </c>
      <c r="B32" s="5">
        <v>44217</v>
      </c>
      <c r="C32" t="s">
        <v>12</v>
      </c>
      <c r="D32">
        <v>5</v>
      </c>
      <c r="F32" s="6">
        <f t="shared" si="0"/>
        <v>-5</v>
      </c>
      <c r="G32" s="6" t="s">
        <v>13</v>
      </c>
      <c r="H32" s="6" t="str">
        <f>_xlfn.XLOOKUP(Transactions[[#This Row],[Sub-category]],TblDV[Sub-category],TblDV[Category],"")</f>
        <v>Dining Out</v>
      </c>
      <c r="I32" s="6" t="str">
        <f>_xlfn.XLOOKUP(Transactions[[#This Row],[Sub-category]],TblDV[Sub-category],TblDV[Category Type],"")</f>
        <v>Expense</v>
      </c>
    </row>
    <row r="33" spans="1:9">
      <c r="A33" t="s">
        <v>4</v>
      </c>
      <c r="B33" s="5">
        <v>44218</v>
      </c>
      <c r="C33" t="s">
        <v>12</v>
      </c>
      <c r="D33">
        <v>5</v>
      </c>
      <c r="F33" s="6">
        <f t="shared" si="0"/>
        <v>-5</v>
      </c>
      <c r="G33" s="6" t="s">
        <v>13</v>
      </c>
      <c r="H33" s="6" t="str">
        <f>_xlfn.XLOOKUP(Transactions[[#This Row],[Sub-category]],TblDV[Sub-category],TblDV[Category],"")</f>
        <v>Dining Out</v>
      </c>
      <c r="I33" s="6" t="str">
        <f>_xlfn.XLOOKUP(Transactions[[#This Row],[Sub-category]],TblDV[Sub-category],TblDV[Category Type],"")</f>
        <v>Expense</v>
      </c>
    </row>
    <row r="34" spans="1:9">
      <c r="A34" t="s">
        <v>4</v>
      </c>
      <c r="B34" s="5">
        <v>44218</v>
      </c>
      <c r="C34" t="s">
        <v>18</v>
      </c>
      <c r="D34">
        <v>170</v>
      </c>
      <c r="F34" s="6">
        <f t="shared" si="0"/>
        <v>-170</v>
      </c>
      <c r="G34" s="6" t="s">
        <v>19</v>
      </c>
      <c r="H34" s="6" t="str">
        <f>_xlfn.XLOOKUP(Transactions[[#This Row],[Sub-category]],TblDV[Sub-category],TblDV[Category],"")</f>
        <v>Living Expenses</v>
      </c>
      <c r="I34" s="6" t="str">
        <f>_xlfn.XLOOKUP(Transactions[[#This Row],[Sub-category]],TblDV[Sub-category],TblDV[Category Type],"")</f>
        <v>Expense</v>
      </c>
    </row>
    <row r="35" spans="1:9">
      <c r="A35" t="s">
        <v>4</v>
      </c>
      <c r="B35" s="5">
        <v>44219</v>
      </c>
      <c r="C35" t="s">
        <v>41</v>
      </c>
      <c r="D35">
        <v>37</v>
      </c>
      <c r="F35" s="6">
        <f t="shared" si="0"/>
        <v>-37</v>
      </c>
      <c r="G35" s="6" t="s">
        <v>29</v>
      </c>
      <c r="H35" s="6" t="str">
        <f>_xlfn.XLOOKUP(Transactions[[#This Row],[Sub-category]],TblDV[Sub-category],TblDV[Category],"")</f>
        <v>Dining Out</v>
      </c>
      <c r="I35" s="6" t="str">
        <f>_xlfn.XLOOKUP(Transactions[[#This Row],[Sub-category]],TblDV[Sub-category],TblDV[Category Type],"")</f>
        <v>Expense</v>
      </c>
    </row>
    <row r="36" spans="1:9">
      <c r="A36" t="s">
        <v>4</v>
      </c>
      <c r="B36" s="5">
        <v>44220</v>
      </c>
      <c r="C36" t="s">
        <v>42</v>
      </c>
      <c r="D36">
        <v>12</v>
      </c>
      <c r="F36" s="6">
        <f t="shared" si="0"/>
        <v>-12</v>
      </c>
      <c r="G36" s="6" t="s">
        <v>29</v>
      </c>
      <c r="H36" s="6" t="str">
        <f>_xlfn.XLOOKUP(Transactions[[#This Row],[Sub-category]],TblDV[Sub-category],TblDV[Category],"")</f>
        <v>Dining Out</v>
      </c>
      <c r="I36" s="6" t="str">
        <f>_xlfn.XLOOKUP(Transactions[[#This Row],[Sub-category]],TblDV[Sub-category],TblDV[Category Type],"")</f>
        <v>Expense</v>
      </c>
    </row>
    <row r="37" spans="1:9">
      <c r="A37" t="s">
        <v>9</v>
      </c>
      <c r="B37" s="5">
        <v>44221</v>
      </c>
      <c r="C37" t="s">
        <v>43</v>
      </c>
      <c r="D37">
        <v>55</v>
      </c>
      <c r="F37" s="6">
        <f t="shared" si="0"/>
        <v>-55</v>
      </c>
      <c r="G37" s="6" t="s">
        <v>44</v>
      </c>
      <c r="H37" s="6" t="str">
        <f>_xlfn.XLOOKUP(Transactions[[#This Row],[Sub-category]],TblDV[Sub-category],TblDV[Category],"")</f>
        <v>Charity</v>
      </c>
      <c r="I37" s="6" t="str">
        <f>_xlfn.XLOOKUP(Transactions[[#This Row],[Sub-category]],TblDV[Sub-category],TblDV[Category Type],"")</f>
        <v>Expense</v>
      </c>
    </row>
    <row r="38" spans="1:9">
      <c r="A38" t="s">
        <v>4</v>
      </c>
      <c r="B38" s="5">
        <v>44221</v>
      </c>
      <c r="C38" t="s">
        <v>22</v>
      </c>
      <c r="D38">
        <v>63</v>
      </c>
      <c r="F38" s="6">
        <f t="shared" si="0"/>
        <v>-63</v>
      </c>
      <c r="G38" s="6" t="s">
        <v>23</v>
      </c>
      <c r="H38" s="6" t="str">
        <f>_xlfn.XLOOKUP(Transactions[[#This Row],[Sub-category]],TblDV[Sub-category],TblDV[Category],"")</f>
        <v>Transport</v>
      </c>
      <c r="I38" s="6" t="str">
        <f>_xlfn.XLOOKUP(Transactions[[#This Row],[Sub-category]],TblDV[Sub-category],TblDV[Category Type],"")</f>
        <v>Expense</v>
      </c>
    </row>
    <row r="39" spans="1:9">
      <c r="A39" t="s">
        <v>4</v>
      </c>
      <c r="B39" s="5">
        <v>44221</v>
      </c>
      <c r="C39" t="s">
        <v>12</v>
      </c>
      <c r="D39">
        <v>5</v>
      </c>
      <c r="F39" s="6">
        <f t="shared" si="0"/>
        <v>-5</v>
      </c>
      <c r="G39" s="6" t="s">
        <v>13</v>
      </c>
      <c r="H39" s="6" t="str">
        <f>_xlfn.XLOOKUP(Transactions[[#This Row],[Sub-category]],TblDV[Sub-category],TblDV[Category],"")</f>
        <v>Dining Out</v>
      </c>
      <c r="I39" s="6" t="str">
        <f>_xlfn.XLOOKUP(Transactions[[#This Row],[Sub-category]],TblDV[Sub-category],TblDV[Category Type],"")</f>
        <v>Expense</v>
      </c>
    </row>
    <row r="40" spans="1:9">
      <c r="A40" t="s">
        <v>4</v>
      </c>
      <c r="B40" s="5">
        <v>44222</v>
      </c>
      <c r="C40" t="s">
        <v>12</v>
      </c>
      <c r="D40">
        <v>5</v>
      </c>
      <c r="F40" s="6">
        <f t="shared" si="0"/>
        <v>-5</v>
      </c>
      <c r="G40" s="6" t="s">
        <v>13</v>
      </c>
      <c r="H40" s="6" t="str">
        <f>_xlfn.XLOOKUP(Transactions[[#This Row],[Sub-category]],TblDV[Sub-category],TblDV[Category],"")</f>
        <v>Dining Out</v>
      </c>
      <c r="I40" s="6" t="str">
        <f>_xlfn.XLOOKUP(Transactions[[#This Row],[Sub-category]],TblDV[Sub-category],TblDV[Category Type],"")</f>
        <v>Expense</v>
      </c>
    </row>
    <row r="41" spans="1:9">
      <c r="A41" t="s">
        <v>4</v>
      </c>
      <c r="B41" s="5">
        <v>44223</v>
      </c>
      <c r="C41" t="s">
        <v>12</v>
      </c>
      <c r="D41">
        <v>5</v>
      </c>
      <c r="F41" s="6">
        <f t="shared" si="0"/>
        <v>-5</v>
      </c>
      <c r="G41" s="6" t="s">
        <v>13</v>
      </c>
      <c r="H41" s="6" t="str">
        <f>_xlfn.XLOOKUP(Transactions[[#This Row],[Sub-category]],TblDV[Sub-category],TblDV[Category],"")</f>
        <v>Dining Out</v>
      </c>
      <c r="I41" s="6" t="str">
        <f>_xlfn.XLOOKUP(Transactions[[#This Row],[Sub-category]],TblDV[Sub-category],TblDV[Category Type],"")</f>
        <v>Expense</v>
      </c>
    </row>
    <row r="42" spans="1:9">
      <c r="A42" t="s">
        <v>4</v>
      </c>
      <c r="B42" s="5">
        <v>44224</v>
      </c>
      <c r="C42" t="s">
        <v>12</v>
      </c>
      <c r="D42">
        <v>5</v>
      </c>
      <c r="F42" s="6">
        <f t="shared" si="0"/>
        <v>-5</v>
      </c>
      <c r="G42" s="6" t="s">
        <v>13</v>
      </c>
      <c r="H42" s="6" t="str">
        <f>_xlfn.XLOOKUP(Transactions[[#This Row],[Sub-category]],TblDV[Sub-category],TblDV[Category],"")</f>
        <v>Dining Out</v>
      </c>
      <c r="I42" s="6" t="str">
        <f>_xlfn.XLOOKUP(Transactions[[#This Row],[Sub-category]],TblDV[Sub-category],TblDV[Category Type],"")</f>
        <v>Expense</v>
      </c>
    </row>
    <row r="43" spans="1:9">
      <c r="A43" t="s">
        <v>4</v>
      </c>
      <c r="B43" s="5">
        <v>44225</v>
      </c>
      <c r="C43" t="s">
        <v>12</v>
      </c>
      <c r="D43">
        <v>5</v>
      </c>
      <c r="F43" s="6">
        <f t="shared" si="0"/>
        <v>-5</v>
      </c>
      <c r="G43" s="6" t="s">
        <v>13</v>
      </c>
      <c r="H43" s="6" t="str">
        <f>_xlfn.XLOOKUP(Transactions[[#This Row],[Sub-category]],TblDV[Sub-category],TblDV[Category],"")</f>
        <v>Dining Out</v>
      </c>
      <c r="I43" s="6" t="str">
        <f>_xlfn.XLOOKUP(Transactions[[#This Row],[Sub-category]],TblDV[Sub-category],TblDV[Category Type],"")</f>
        <v>Expense</v>
      </c>
    </row>
    <row r="44" spans="1:9">
      <c r="A44" t="s">
        <v>4</v>
      </c>
      <c r="B44" s="5">
        <v>44225</v>
      </c>
      <c r="C44" t="s">
        <v>18</v>
      </c>
      <c r="D44">
        <v>162</v>
      </c>
      <c r="F44" s="6">
        <f t="shared" si="0"/>
        <v>-162</v>
      </c>
      <c r="G44" s="6" t="s">
        <v>19</v>
      </c>
      <c r="H44" s="6" t="str">
        <f>_xlfn.XLOOKUP(Transactions[[#This Row],[Sub-category]],TblDV[Sub-category],TblDV[Category],"")</f>
        <v>Living Expenses</v>
      </c>
      <c r="I44" s="6" t="str">
        <f>_xlfn.XLOOKUP(Transactions[[#This Row],[Sub-category]],TblDV[Sub-category],TblDV[Category Type],"")</f>
        <v>Expense</v>
      </c>
    </row>
    <row r="45" spans="1:9">
      <c r="A45" t="s">
        <v>4</v>
      </c>
      <c r="B45" s="5">
        <v>44226</v>
      </c>
      <c r="C45" t="s">
        <v>45</v>
      </c>
      <c r="D45">
        <v>125</v>
      </c>
      <c r="F45" s="6">
        <f t="shared" si="0"/>
        <v>-125</v>
      </c>
      <c r="G45" s="6" t="s">
        <v>27</v>
      </c>
      <c r="H45" s="6" t="str">
        <f>_xlfn.XLOOKUP(Transactions[[#This Row],[Sub-category]],TblDV[Sub-category],TblDV[Category],"")</f>
        <v>Discretionary</v>
      </c>
      <c r="I45" s="6" t="str">
        <f>_xlfn.XLOOKUP(Transactions[[#This Row],[Sub-category]],TblDV[Sub-category],TblDV[Category Type],"")</f>
        <v>Expense</v>
      </c>
    </row>
    <row r="46" spans="1:9">
      <c r="A46" t="s">
        <v>4</v>
      </c>
      <c r="B46" s="5">
        <v>44226</v>
      </c>
      <c r="C46" t="s">
        <v>46</v>
      </c>
      <c r="D46">
        <v>175</v>
      </c>
      <c r="F46" s="6">
        <f t="shared" si="0"/>
        <v>-175</v>
      </c>
      <c r="G46" s="6" t="s">
        <v>25</v>
      </c>
      <c r="H46" s="6" t="str">
        <f>_xlfn.XLOOKUP(Transactions[[#This Row],[Sub-category]],TblDV[Sub-category],TblDV[Category],"")</f>
        <v>Discretionary</v>
      </c>
      <c r="I46" s="6" t="str">
        <f>_xlfn.XLOOKUP(Transactions[[#This Row],[Sub-category]],TblDV[Sub-category],TblDV[Category Type],"")</f>
        <v>Expense</v>
      </c>
    </row>
    <row r="47" spans="1:9">
      <c r="A47" t="s">
        <v>4</v>
      </c>
      <c r="B47" s="5">
        <v>44227</v>
      </c>
      <c r="C47" t="s">
        <v>26</v>
      </c>
      <c r="D47">
        <v>145</v>
      </c>
      <c r="F47" s="6">
        <f t="shared" si="0"/>
        <v>-145</v>
      </c>
      <c r="G47" s="6" t="s">
        <v>27</v>
      </c>
      <c r="H47" s="6" t="str">
        <f>_xlfn.XLOOKUP(Transactions[[#This Row],[Sub-category]],TblDV[Sub-category],TblDV[Category],"")</f>
        <v>Discretionary</v>
      </c>
      <c r="I47" s="6" t="str">
        <f>_xlfn.XLOOKUP(Transactions[[#This Row],[Sub-category]],TblDV[Sub-category],TblDV[Category Type],"")</f>
        <v>Expense</v>
      </c>
    </row>
    <row r="48" spans="1:9">
      <c r="A48" t="s">
        <v>4</v>
      </c>
      <c r="B48" s="5">
        <v>44227</v>
      </c>
      <c r="C48" t="s">
        <v>30</v>
      </c>
      <c r="D48">
        <v>23</v>
      </c>
      <c r="F48" s="6">
        <f t="shared" si="0"/>
        <v>-23</v>
      </c>
      <c r="G48" s="6" t="s">
        <v>31</v>
      </c>
      <c r="H48" s="6" t="str">
        <f>_xlfn.XLOOKUP(Transactions[[#This Row],[Sub-category]],TblDV[Sub-category],TblDV[Category],"")</f>
        <v>Transport</v>
      </c>
      <c r="I48" s="6" t="str">
        <f>_xlfn.XLOOKUP(Transactions[[#This Row],[Sub-category]],TblDV[Sub-category],TblDV[Category Type],"")</f>
        <v>Expense</v>
      </c>
    </row>
    <row r="49" spans="1:9">
      <c r="A49" t="s">
        <v>9</v>
      </c>
      <c r="B49" s="5">
        <v>44228</v>
      </c>
      <c r="C49" t="s">
        <v>10</v>
      </c>
      <c r="E49">
        <v>4000</v>
      </c>
      <c r="F49" s="7">
        <f t="shared" si="0"/>
        <v>4000</v>
      </c>
      <c r="G49" s="6" t="s">
        <v>11</v>
      </c>
      <c r="H49" s="6" t="str">
        <f>_xlfn.XLOOKUP(Transactions[[#This Row],[Sub-category]],TblDV[Sub-category],TblDV[Category],"")</f>
        <v>Salary</v>
      </c>
      <c r="I49" s="6" t="str">
        <f>_xlfn.XLOOKUP(Transactions[[#This Row],[Sub-category]],TblDV[Sub-category],TblDV[Category Type],"")</f>
        <v>Income</v>
      </c>
    </row>
    <row r="50" spans="1:9">
      <c r="A50" t="s">
        <v>4</v>
      </c>
      <c r="B50" s="5">
        <v>44228</v>
      </c>
      <c r="C50" t="s">
        <v>12</v>
      </c>
      <c r="D50">
        <v>5</v>
      </c>
      <c r="F50" s="7">
        <f t="shared" si="0"/>
        <v>-5</v>
      </c>
      <c r="G50" s="6" t="s">
        <v>13</v>
      </c>
      <c r="H50" s="6" t="str">
        <f>_xlfn.XLOOKUP(Transactions[[#This Row],[Sub-category]],TblDV[Sub-category],TblDV[Category],"")</f>
        <v>Dining Out</v>
      </c>
      <c r="I50" s="6" t="str">
        <f>_xlfn.XLOOKUP(Transactions[[#This Row],[Sub-category]],TblDV[Sub-category],TblDV[Category Type],"")</f>
        <v>Expense</v>
      </c>
    </row>
    <row r="51" spans="1:9">
      <c r="A51" t="s">
        <v>9</v>
      </c>
      <c r="B51" s="5">
        <v>44229</v>
      </c>
      <c r="C51" t="s">
        <v>14</v>
      </c>
      <c r="D51">
        <v>900</v>
      </c>
      <c r="F51" s="7">
        <f t="shared" si="0"/>
        <v>-900</v>
      </c>
      <c r="G51" s="6" t="s">
        <v>15</v>
      </c>
      <c r="H51" s="6" t="str">
        <f>_xlfn.XLOOKUP(Transactions[[#This Row],[Sub-category]],TblDV[Sub-category],TblDV[Category],"")</f>
        <v>Living Expenses</v>
      </c>
      <c r="I51" s="6" t="str">
        <f>_xlfn.XLOOKUP(Transactions[[#This Row],[Sub-category]],TblDV[Sub-category],TblDV[Category Type],"")</f>
        <v>Expense</v>
      </c>
    </row>
    <row r="52" spans="1:9">
      <c r="A52" t="s">
        <v>9</v>
      </c>
      <c r="B52" s="5">
        <v>44229</v>
      </c>
      <c r="C52" t="s">
        <v>16</v>
      </c>
      <c r="D52">
        <v>150</v>
      </c>
      <c r="F52" s="7">
        <f t="shared" si="0"/>
        <v>-150</v>
      </c>
      <c r="G52" s="6" t="s">
        <v>17</v>
      </c>
      <c r="H52" s="6" t="str">
        <f>_xlfn.XLOOKUP(Transactions[[#This Row],[Sub-category]],TblDV[Sub-category],TblDV[Category],"")</f>
        <v>Transport</v>
      </c>
      <c r="I52" s="6" t="str">
        <f>_xlfn.XLOOKUP(Transactions[[#This Row],[Sub-category]],TblDV[Sub-category],TblDV[Category Type],"")</f>
        <v>Expense</v>
      </c>
    </row>
    <row r="53" spans="1:9">
      <c r="A53" t="s">
        <v>4</v>
      </c>
      <c r="B53" s="5">
        <v>44229</v>
      </c>
      <c r="C53" t="s">
        <v>12</v>
      </c>
      <c r="D53">
        <v>5</v>
      </c>
      <c r="F53" s="7">
        <f t="shared" si="0"/>
        <v>-5</v>
      </c>
      <c r="G53" s="6" t="s">
        <v>13</v>
      </c>
      <c r="H53" s="6" t="str">
        <f>_xlfn.XLOOKUP(Transactions[[#This Row],[Sub-category]],TblDV[Sub-category],TblDV[Category],"")</f>
        <v>Dining Out</v>
      </c>
      <c r="I53" s="6" t="str">
        <f>_xlfn.XLOOKUP(Transactions[[#This Row],[Sub-category]],TblDV[Sub-category],TblDV[Category Type],"")</f>
        <v>Expense</v>
      </c>
    </row>
    <row r="54" spans="1:9">
      <c r="A54" t="s">
        <v>4</v>
      </c>
      <c r="B54" s="5">
        <v>44230</v>
      </c>
      <c r="C54" t="s">
        <v>12</v>
      </c>
      <c r="D54">
        <v>5</v>
      </c>
      <c r="F54" s="7">
        <f t="shared" si="0"/>
        <v>-5</v>
      </c>
      <c r="G54" s="6" t="s">
        <v>13</v>
      </c>
      <c r="H54" s="6" t="str">
        <f>_xlfn.XLOOKUP(Transactions[[#This Row],[Sub-category]],TblDV[Sub-category],TblDV[Category],"")</f>
        <v>Dining Out</v>
      </c>
      <c r="I54" s="6" t="str">
        <f>_xlfn.XLOOKUP(Transactions[[#This Row],[Sub-category]],TblDV[Sub-category],TblDV[Category Type],"")</f>
        <v>Expense</v>
      </c>
    </row>
    <row r="55" spans="1:9">
      <c r="A55" t="s">
        <v>4</v>
      </c>
      <c r="B55" s="5">
        <v>44231</v>
      </c>
      <c r="C55" t="s">
        <v>12</v>
      </c>
      <c r="D55">
        <v>5</v>
      </c>
      <c r="F55" s="7">
        <f t="shared" si="0"/>
        <v>-5</v>
      </c>
      <c r="G55" s="6" t="s">
        <v>13</v>
      </c>
      <c r="H55" s="6" t="str">
        <f>_xlfn.XLOOKUP(Transactions[[#This Row],[Sub-category]],TblDV[Sub-category],TblDV[Category],"")</f>
        <v>Dining Out</v>
      </c>
      <c r="I55" s="6" t="str">
        <f>_xlfn.XLOOKUP(Transactions[[#This Row],[Sub-category]],TblDV[Sub-category],TblDV[Category Type],"")</f>
        <v>Expense</v>
      </c>
    </row>
    <row r="56" spans="1:9">
      <c r="A56" t="s">
        <v>4</v>
      </c>
      <c r="B56" s="5">
        <v>44232</v>
      </c>
      <c r="C56" t="s">
        <v>12</v>
      </c>
      <c r="D56">
        <v>5</v>
      </c>
      <c r="F56" s="7">
        <f t="shared" si="0"/>
        <v>-5</v>
      </c>
      <c r="G56" s="6" t="s">
        <v>13</v>
      </c>
      <c r="H56" s="6" t="str">
        <f>_xlfn.XLOOKUP(Transactions[[#This Row],[Sub-category]],TblDV[Sub-category],TblDV[Category],"")</f>
        <v>Dining Out</v>
      </c>
      <c r="I56" s="6" t="str">
        <f>_xlfn.XLOOKUP(Transactions[[#This Row],[Sub-category]],TblDV[Sub-category],TblDV[Category Type],"")</f>
        <v>Expense</v>
      </c>
    </row>
    <row r="57" spans="1:9">
      <c r="A57" t="s">
        <v>4</v>
      </c>
      <c r="B57" s="5">
        <v>44232</v>
      </c>
      <c r="C57" t="s">
        <v>18</v>
      </c>
      <c r="D57">
        <v>205</v>
      </c>
      <c r="F57" s="7">
        <f t="shared" si="0"/>
        <v>-205</v>
      </c>
      <c r="G57" s="6" t="s">
        <v>19</v>
      </c>
      <c r="H57" s="6" t="str">
        <f>_xlfn.XLOOKUP(Transactions[[#This Row],[Sub-category]],TblDV[Sub-category],TblDV[Category],"")</f>
        <v>Living Expenses</v>
      </c>
      <c r="I57" s="6" t="str">
        <f>_xlfn.XLOOKUP(Transactions[[#This Row],[Sub-category]],TblDV[Sub-category],TblDV[Category Type],"")</f>
        <v>Expense</v>
      </c>
    </row>
    <row r="58" spans="1:9">
      <c r="A58" t="s">
        <v>9</v>
      </c>
      <c r="B58" s="5">
        <v>44235</v>
      </c>
      <c r="C58" t="s">
        <v>20</v>
      </c>
      <c r="D58">
        <v>51.1</v>
      </c>
      <c r="F58" s="7">
        <f t="shared" si="0"/>
        <v>-51.1</v>
      </c>
      <c r="G58" s="6" t="s">
        <v>21</v>
      </c>
      <c r="H58" s="6" t="str">
        <f>_xlfn.XLOOKUP(Transactions[[#This Row],[Sub-category]],TblDV[Sub-category],TblDV[Category],"")</f>
        <v>Living Expenses</v>
      </c>
      <c r="I58" s="6" t="str">
        <f>_xlfn.XLOOKUP(Transactions[[#This Row],[Sub-category]],TblDV[Sub-category],TblDV[Category Type],"")</f>
        <v>Expense</v>
      </c>
    </row>
    <row r="59" spans="1:9">
      <c r="A59" t="s">
        <v>4</v>
      </c>
      <c r="B59" s="5">
        <v>44235</v>
      </c>
      <c r="C59" t="s">
        <v>12</v>
      </c>
      <c r="D59">
        <v>5</v>
      </c>
      <c r="F59" s="7">
        <f t="shared" si="0"/>
        <v>-5</v>
      </c>
      <c r="G59" s="6" t="s">
        <v>13</v>
      </c>
      <c r="H59" s="6" t="str">
        <f>_xlfn.XLOOKUP(Transactions[[#This Row],[Sub-category]],TblDV[Sub-category],TblDV[Category],"")</f>
        <v>Dining Out</v>
      </c>
      <c r="I59" s="6" t="str">
        <f>_xlfn.XLOOKUP(Transactions[[#This Row],[Sub-category]],TblDV[Sub-category],TblDV[Category Type],"")</f>
        <v>Expense</v>
      </c>
    </row>
    <row r="60" spans="1:9">
      <c r="A60" t="s">
        <v>4</v>
      </c>
      <c r="B60" s="5">
        <v>44236</v>
      </c>
      <c r="C60" t="s">
        <v>12</v>
      </c>
      <c r="D60">
        <v>5</v>
      </c>
      <c r="F60" s="7">
        <f t="shared" si="0"/>
        <v>-5</v>
      </c>
      <c r="G60" s="6" t="s">
        <v>13</v>
      </c>
      <c r="H60" s="6" t="str">
        <f>_xlfn.XLOOKUP(Transactions[[#This Row],[Sub-category]],TblDV[Sub-category],TblDV[Category],"")</f>
        <v>Dining Out</v>
      </c>
      <c r="I60" s="6" t="str">
        <f>_xlfn.XLOOKUP(Transactions[[#This Row],[Sub-category]],TblDV[Sub-category],TblDV[Category Type],"")</f>
        <v>Expense</v>
      </c>
    </row>
    <row r="61" spans="1:9">
      <c r="A61" t="s">
        <v>4</v>
      </c>
      <c r="B61" s="5">
        <v>44237</v>
      </c>
      <c r="C61" t="s">
        <v>22</v>
      </c>
      <c r="D61">
        <v>78</v>
      </c>
      <c r="F61" s="7">
        <f t="shared" si="0"/>
        <v>-78</v>
      </c>
      <c r="G61" s="6" t="s">
        <v>23</v>
      </c>
      <c r="H61" s="6" t="str">
        <f>_xlfn.XLOOKUP(Transactions[[#This Row],[Sub-category]],TblDV[Sub-category],TblDV[Category],"")</f>
        <v>Transport</v>
      </c>
      <c r="I61" s="6" t="str">
        <f>_xlfn.XLOOKUP(Transactions[[#This Row],[Sub-category]],TblDV[Sub-category],TblDV[Category Type],"")</f>
        <v>Expense</v>
      </c>
    </row>
    <row r="62" spans="1:9">
      <c r="A62" t="s">
        <v>4</v>
      </c>
      <c r="B62" s="5">
        <v>44237</v>
      </c>
      <c r="C62" t="s">
        <v>12</v>
      </c>
      <c r="D62">
        <v>5</v>
      </c>
      <c r="F62" s="7">
        <f t="shared" si="0"/>
        <v>-5</v>
      </c>
      <c r="G62" s="6" t="s">
        <v>13</v>
      </c>
      <c r="H62" s="6" t="str">
        <f>_xlfn.XLOOKUP(Transactions[[#This Row],[Sub-category]],TblDV[Sub-category],TblDV[Category],"")</f>
        <v>Dining Out</v>
      </c>
      <c r="I62" s="6" t="str">
        <f>_xlfn.XLOOKUP(Transactions[[#This Row],[Sub-category]],TblDV[Sub-category],TblDV[Category Type],"")</f>
        <v>Expense</v>
      </c>
    </row>
    <row r="63" spans="1:9">
      <c r="A63" t="s">
        <v>4</v>
      </c>
      <c r="B63" s="5">
        <v>44238</v>
      </c>
      <c r="C63" t="s">
        <v>12</v>
      </c>
      <c r="D63">
        <v>5</v>
      </c>
      <c r="F63" s="7">
        <f t="shared" si="0"/>
        <v>-5</v>
      </c>
      <c r="G63" s="6" t="s">
        <v>13</v>
      </c>
      <c r="H63" s="6" t="str">
        <f>_xlfn.XLOOKUP(Transactions[[#This Row],[Sub-category]],TblDV[Sub-category],TblDV[Category],"")</f>
        <v>Dining Out</v>
      </c>
      <c r="I63" s="6" t="str">
        <f>_xlfn.XLOOKUP(Transactions[[#This Row],[Sub-category]],TblDV[Sub-category],TblDV[Category Type],"")</f>
        <v>Expense</v>
      </c>
    </row>
    <row r="64" spans="1:9">
      <c r="A64" t="s">
        <v>4</v>
      </c>
      <c r="B64" s="5">
        <v>44239</v>
      </c>
      <c r="C64" t="s">
        <v>18</v>
      </c>
      <c r="D64">
        <v>135.9</v>
      </c>
      <c r="F64" s="7">
        <f t="shared" si="0"/>
        <v>-135.9</v>
      </c>
      <c r="G64" s="6" t="s">
        <v>19</v>
      </c>
      <c r="H64" s="6" t="str">
        <f>_xlfn.XLOOKUP(Transactions[[#This Row],[Sub-category]],TblDV[Sub-category],TblDV[Category],"")</f>
        <v>Living Expenses</v>
      </c>
      <c r="I64" s="6" t="str">
        <f>_xlfn.XLOOKUP(Transactions[[#This Row],[Sub-category]],TblDV[Sub-category],TblDV[Category Type],"")</f>
        <v>Expense</v>
      </c>
    </row>
    <row r="65" spans="1:9">
      <c r="A65" t="s">
        <v>4</v>
      </c>
      <c r="B65" s="5">
        <v>44239</v>
      </c>
      <c r="C65" t="s">
        <v>12</v>
      </c>
      <c r="D65">
        <v>5</v>
      </c>
      <c r="F65" s="7">
        <f t="shared" si="0"/>
        <v>-5</v>
      </c>
      <c r="G65" s="6" t="s">
        <v>13</v>
      </c>
      <c r="H65" s="6" t="str">
        <f>_xlfn.XLOOKUP(Transactions[[#This Row],[Sub-category]],TblDV[Sub-category],TblDV[Category],"")</f>
        <v>Dining Out</v>
      </c>
      <c r="I65" s="6" t="str">
        <f>_xlfn.XLOOKUP(Transactions[[#This Row],[Sub-category]],TblDV[Sub-category],TblDV[Category Type],"")</f>
        <v>Expense</v>
      </c>
    </row>
    <row r="66" spans="1:9">
      <c r="A66" t="s">
        <v>4</v>
      </c>
      <c r="B66" s="5">
        <v>44240</v>
      </c>
      <c r="C66" t="s">
        <v>12</v>
      </c>
      <c r="D66">
        <v>5</v>
      </c>
      <c r="F66" s="7">
        <f t="shared" ref="F66:F129" si="1">E66-D66</f>
        <v>-5</v>
      </c>
      <c r="G66" s="6" t="s">
        <v>13</v>
      </c>
      <c r="H66" s="6" t="str">
        <f>_xlfn.XLOOKUP(Transactions[[#This Row],[Sub-category]],TblDV[Sub-category],TblDV[Category],"")</f>
        <v>Dining Out</v>
      </c>
      <c r="I66" s="6" t="str">
        <f>_xlfn.XLOOKUP(Transactions[[#This Row],[Sub-category]],TblDV[Sub-category],TblDV[Category Type],"")</f>
        <v>Expense</v>
      </c>
    </row>
    <row r="67" spans="1:9">
      <c r="A67" t="s">
        <v>4</v>
      </c>
      <c r="B67" s="5">
        <v>44240</v>
      </c>
      <c r="C67" t="s">
        <v>24</v>
      </c>
      <c r="D67">
        <v>40.9</v>
      </c>
      <c r="F67" s="7">
        <f t="shared" si="1"/>
        <v>-40.9</v>
      </c>
      <c r="G67" s="6" t="s">
        <v>25</v>
      </c>
      <c r="H67" s="6" t="str">
        <f>_xlfn.XLOOKUP(Transactions[[#This Row],[Sub-category]],TblDV[Sub-category],TblDV[Category],"")</f>
        <v>Discretionary</v>
      </c>
      <c r="I67" s="6" t="str">
        <f>_xlfn.XLOOKUP(Transactions[[#This Row],[Sub-category]],TblDV[Sub-category],TblDV[Category Type],"")</f>
        <v>Expense</v>
      </c>
    </row>
    <row r="68" spans="1:9">
      <c r="A68" t="s">
        <v>4</v>
      </c>
      <c r="B68" s="5">
        <v>44240</v>
      </c>
      <c r="C68" t="s">
        <v>26</v>
      </c>
      <c r="D68">
        <v>99</v>
      </c>
      <c r="F68" s="7">
        <f t="shared" si="1"/>
        <v>-99</v>
      </c>
      <c r="G68" s="6" t="s">
        <v>27</v>
      </c>
      <c r="H68" s="6" t="str">
        <f>_xlfn.XLOOKUP(Transactions[[#This Row],[Sub-category]],TblDV[Sub-category],TblDV[Category],"")</f>
        <v>Discretionary</v>
      </c>
      <c r="I68" s="6" t="str">
        <f>_xlfn.XLOOKUP(Transactions[[#This Row],[Sub-category]],TblDV[Sub-category],TblDV[Category Type],"")</f>
        <v>Expense</v>
      </c>
    </row>
    <row r="69" spans="1:9">
      <c r="A69" t="s">
        <v>4</v>
      </c>
      <c r="B69" s="5">
        <v>44240</v>
      </c>
      <c r="C69" t="s">
        <v>28</v>
      </c>
      <c r="D69">
        <v>53</v>
      </c>
      <c r="F69" s="7">
        <f t="shared" si="1"/>
        <v>-53</v>
      </c>
      <c r="G69" s="6" t="s">
        <v>29</v>
      </c>
      <c r="H69" s="6" t="str">
        <f>_xlfn.XLOOKUP(Transactions[[#This Row],[Sub-category]],TblDV[Sub-category],TblDV[Category],"")</f>
        <v>Dining Out</v>
      </c>
      <c r="I69" s="6" t="str">
        <f>_xlfn.XLOOKUP(Transactions[[#This Row],[Sub-category]],TblDV[Sub-category],TblDV[Category Type],"")</f>
        <v>Expense</v>
      </c>
    </row>
    <row r="70" spans="1:9">
      <c r="A70" t="s">
        <v>4</v>
      </c>
      <c r="B70" s="5">
        <v>44241</v>
      </c>
      <c r="C70" t="s">
        <v>30</v>
      </c>
      <c r="D70">
        <v>28.9</v>
      </c>
      <c r="F70" s="7">
        <f t="shared" si="1"/>
        <v>-28.9</v>
      </c>
      <c r="G70" s="6" t="s">
        <v>31</v>
      </c>
      <c r="H70" s="6" t="str">
        <f>_xlfn.XLOOKUP(Transactions[[#This Row],[Sub-category]],TblDV[Sub-category],TblDV[Category],"")</f>
        <v>Transport</v>
      </c>
      <c r="I70" s="6" t="str">
        <f>_xlfn.XLOOKUP(Transactions[[#This Row],[Sub-category]],TblDV[Sub-category],TblDV[Category Type],"")</f>
        <v>Expense</v>
      </c>
    </row>
    <row r="71" spans="1:9">
      <c r="A71" t="s">
        <v>9</v>
      </c>
      <c r="B71" s="5">
        <v>44242</v>
      </c>
      <c r="C71" t="s">
        <v>32</v>
      </c>
      <c r="D71">
        <v>30</v>
      </c>
      <c r="F71" s="7">
        <f t="shared" si="1"/>
        <v>-30</v>
      </c>
      <c r="G71" s="6" t="s">
        <v>33</v>
      </c>
      <c r="H71" s="6" t="str">
        <f>_xlfn.XLOOKUP(Transactions[[#This Row],[Sub-category]],TblDV[Sub-category],TblDV[Category],"")</f>
        <v>Discretionary</v>
      </c>
      <c r="I71" s="6" t="str">
        <f>_xlfn.XLOOKUP(Transactions[[#This Row],[Sub-category]],TblDV[Sub-category],TblDV[Category Type],"")</f>
        <v>Expense</v>
      </c>
    </row>
    <row r="72" spans="1:9">
      <c r="A72" t="s">
        <v>4</v>
      </c>
      <c r="B72" s="5">
        <v>44242</v>
      </c>
      <c r="C72" t="s">
        <v>12</v>
      </c>
      <c r="D72">
        <v>5</v>
      </c>
      <c r="F72" s="7">
        <f t="shared" si="1"/>
        <v>-5</v>
      </c>
      <c r="G72" s="6" t="s">
        <v>13</v>
      </c>
      <c r="H72" s="6" t="str">
        <f>_xlfn.XLOOKUP(Transactions[[#This Row],[Sub-category]],TblDV[Sub-category],TblDV[Category],"")</f>
        <v>Dining Out</v>
      </c>
      <c r="I72" s="6" t="str">
        <f>_xlfn.XLOOKUP(Transactions[[#This Row],[Sub-category]],TblDV[Sub-category],TblDV[Category Type],"")</f>
        <v>Expense</v>
      </c>
    </row>
    <row r="73" spans="1:9">
      <c r="A73" t="s">
        <v>4</v>
      </c>
      <c r="B73" s="5">
        <v>44243</v>
      </c>
      <c r="C73" t="s">
        <v>12</v>
      </c>
      <c r="D73">
        <v>5</v>
      </c>
      <c r="F73" s="7">
        <f t="shared" si="1"/>
        <v>-5</v>
      </c>
      <c r="G73" s="6" t="s">
        <v>13</v>
      </c>
      <c r="H73" s="6" t="str">
        <f>_xlfn.XLOOKUP(Transactions[[#This Row],[Sub-category]],TblDV[Sub-category],TblDV[Category],"")</f>
        <v>Dining Out</v>
      </c>
      <c r="I73" s="6" t="str">
        <f>_xlfn.XLOOKUP(Transactions[[#This Row],[Sub-category]],TblDV[Sub-category],TblDV[Category Type],"")</f>
        <v>Expense</v>
      </c>
    </row>
    <row r="74" spans="1:9">
      <c r="A74" t="s">
        <v>9</v>
      </c>
      <c r="B74" s="5">
        <v>44243</v>
      </c>
      <c r="C74" t="s">
        <v>36</v>
      </c>
      <c r="D74">
        <v>40</v>
      </c>
      <c r="F74" s="7">
        <f t="shared" si="1"/>
        <v>-40</v>
      </c>
      <c r="G74" s="6" t="s">
        <v>37</v>
      </c>
      <c r="H74" s="6" t="str">
        <f>_xlfn.XLOOKUP(Transactions[[#This Row],[Sub-category]],TblDV[Sub-category],TblDV[Category],"")</f>
        <v>Living Expenses</v>
      </c>
      <c r="I74" s="6" t="str">
        <f>_xlfn.XLOOKUP(Transactions[[#This Row],[Sub-category]],TblDV[Sub-category],TblDV[Category Type],"")</f>
        <v>Expense</v>
      </c>
    </row>
    <row r="75" spans="1:9">
      <c r="A75" t="s">
        <v>4</v>
      </c>
      <c r="B75" s="5">
        <v>44244</v>
      </c>
      <c r="C75" t="s">
        <v>38</v>
      </c>
      <c r="D75">
        <v>45.9</v>
      </c>
      <c r="F75" s="7">
        <f t="shared" si="1"/>
        <v>-45.9</v>
      </c>
      <c r="G75" s="6" t="s">
        <v>39</v>
      </c>
      <c r="H75" s="6" t="str">
        <f>_xlfn.XLOOKUP(Transactions[[#This Row],[Sub-category]],TblDV[Sub-category],TblDV[Category],"")</f>
        <v>Discretionary</v>
      </c>
      <c r="I75" s="6" t="str">
        <f>_xlfn.XLOOKUP(Transactions[[#This Row],[Sub-category]],TblDV[Sub-category],TblDV[Category Type],"")</f>
        <v>Expense</v>
      </c>
    </row>
    <row r="76" spans="1:9">
      <c r="A76" t="s">
        <v>4</v>
      </c>
      <c r="B76" s="5">
        <v>44244</v>
      </c>
      <c r="C76" t="s">
        <v>40</v>
      </c>
      <c r="D76">
        <v>35</v>
      </c>
      <c r="F76" s="7">
        <f t="shared" si="1"/>
        <v>-35</v>
      </c>
      <c r="G76" s="6" t="s">
        <v>25</v>
      </c>
      <c r="H76" s="6" t="str">
        <f>_xlfn.XLOOKUP(Transactions[[#This Row],[Sub-category]],TblDV[Sub-category],TblDV[Category],"")</f>
        <v>Discretionary</v>
      </c>
      <c r="I76" s="6" t="str">
        <f>_xlfn.XLOOKUP(Transactions[[#This Row],[Sub-category]],TblDV[Sub-category],TblDV[Category Type],"")</f>
        <v>Expense</v>
      </c>
    </row>
    <row r="77" spans="1:9">
      <c r="A77" t="s">
        <v>4</v>
      </c>
      <c r="B77" s="5">
        <v>44244</v>
      </c>
      <c r="C77" t="s">
        <v>12</v>
      </c>
      <c r="D77">
        <v>5</v>
      </c>
      <c r="F77" s="7">
        <f t="shared" si="1"/>
        <v>-5</v>
      </c>
      <c r="G77" s="6" t="s">
        <v>13</v>
      </c>
      <c r="H77" s="6" t="str">
        <f>_xlfn.XLOOKUP(Transactions[[#This Row],[Sub-category]],TblDV[Sub-category],TblDV[Category],"")</f>
        <v>Dining Out</v>
      </c>
      <c r="I77" s="6" t="str">
        <f>_xlfn.XLOOKUP(Transactions[[#This Row],[Sub-category]],TblDV[Sub-category],TblDV[Category Type],"")</f>
        <v>Expense</v>
      </c>
    </row>
    <row r="78" spans="1:9">
      <c r="A78" t="s">
        <v>4</v>
      </c>
      <c r="B78" s="5">
        <v>44245</v>
      </c>
      <c r="C78" t="s">
        <v>12</v>
      </c>
      <c r="D78">
        <v>5</v>
      </c>
      <c r="F78" s="7">
        <f t="shared" si="1"/>
        <v>-5</v>
      </c>
      <c r="G78" s="6" t="s">
        <v>13</v>
      </c>
      <c r="H78" s="6" t="str">
        <f>_xlfn.XLOOKUP(Transactions[[#This Row],[Sub-category]],TblDV[Sub-category],TblDV[Category],"")</f>
        <v>Dining Out</v>
      </c>
      <c r="I78" s="6" t="str">
        <f>_xlfn.XLOOKUP(Transactions[[#This Row],[Sub-category]],TblDV[Sub-category],TblDV[Category Type],"")</f>
        <v>Expense</v>
      </c>
    </row>
    <row r="79" spans="1:9">
      <c r="A79" t="s">
        <v>4</v>
      </c>
      <c r="B79" s="5">
        <v>44246</v>
      </c>
      <c r="C79" t="s">
        <v>12</v>
      </c>
      <c r="D79">
        <v>5</v>
      </c>
      <c r="F79" s="7">
        <f t="shared" si="1"/>
        <v>-5</v>
      </c>
      <c r="G79" s="6" t="s">
        <v>13</v>
      </c>
      <c r="H79" s="6" t="str">
        <f>_xlfn.XLOOKUP(Transactions[[#This Row],[Sub-category]],TblDV[Sub-category],TblDV[Category],"")</f>
        <v>Dining Out</v>
      </c>
      <c r="I79" s="6" t="str">
        <f>_xlfn.XLOOKUP(Transactions[[#This Row],[Sub-category]],TblDV[Sub-category],TblDV[Category Type],"")</f>
        <v>Expense</v>
      </c>
    </row>
    <row r="80" spans="1:9">
      <c r="A80" t="s">
        <v>4</v>
      </c>
      <c r="B80" s="5">
        <v>44246</v>
      </c>
      <c r="C80" t="s">
        <v>18</v>
      </c>
      <c r="D80">
        <v>171</v>
      </c>
      <c r="F80" s="7">
        <f t="shared" si="1"/>
        <v>-171</v>
      </c>
      <c r="G80" s="6" t="s">
        <v>19</v>
      </c>
      <c r="H80" s="6" t="str">
        <f>_xlfn.XLOOKUP(Transactions[[#This Row],[Sub-category]],TblDV[Sub-category],TblDV[Category],"")</f>
        <v>Living Expenses</v>
      </c>
      <c r="I80" s="6" t="str">
        <f>_xlfn.XLOOKUP(Transactions[[#This Row],[Sub-category]],TblDV[Sub-category],TblDV[Category Type],"")</f>
        <v>Expense</v>
      </c>
    </row>
    <row r="81" spans="1:9">
      <c r="A81" t="s">
        <v>4</v>
      </c>
      <c r="B81" s="5">
        <v>44247</v>
      </c>
      <c r="C81" t="s">
        <v>41</v>
      </c>
      <c r="D81">
        <v>37.9</v>
      </c>
      <c r="F81" s="7">
        <f t="shared" si="1"/>
        <v>-37.9</v>
      </c>
      <c r="G81" s="6" t="s">
        <v>29</v>
      </c>
      <c r="H81" s="6" t="str">
        <f>_xlfn.XLOOKUP(Transactions[[#This Row],[Sub-category]],TblDV[Sub-category],TblDV[Category],"")</f>
        <v>Dining Out</v>
      </c>
      <c r="I81" s="6" t="str">
        <f>_xlfn.XLOOKUP(Transactions[[#This Row],[Sub-category]],TblDV[Sub-category],TblDV[Category Type],"")</f>
        <v>Expense</v>
      </c>
    </row>
    <row r="82" spans="1:9">
      <c r="A82" t="s">
        <v>4</v>
      </c>
      <c r="B82" s="5">
        <v>44248</v>
      </c>
      <c r="C82" t="s">
        <v>42</v>
      </c>
      <c r="D82">
        <v>12.9</v>
      </c>
      <c r="F82" s="7">
        <f t="shared" si="1"/>
        <v>-12.9</v>
      </c>
      <c r="G82" s="6" t="s">
        <v>29</v>
      </c>
      <c r="H82" s="6" t="str">
        <f>_xlfn.XLOOKUP(Transactions[[#This Row],[Sub-category]],TblDV[Sub-category],TblDV[Category],"")</f>
        <v>Dining Out</v>
      </c>
      <c r="I82" s="6" t="str">
        <f>_xlfn.XLOOKUP(Transactions[[#This Row],[Sub-category]],TblDV[Sub-category],TblDV[Category Type],"")</f>
        <v>Expense</v>
      </c>
    </row>
    <row r="83" spans="1:9">
      <c r="A83" t="s">
        <v>9</v>
      </c>
      <c r="B83" s="5">
        <v>44249</v>
      </c>
      <c r="C83" t="s">
        <v>43</v>
      </c>
      <c r="D83">
        <v>55</v>
      </c>
      <c r="F83" s="7">
        <f t="shared" si="1"/>
        <v>-55</v>
      </c>
      <c r="G83" s="6" t="s">
        <v>44</v>
      </c>
      <c r="H83" s="6" t="str">
        <f>_xlfn.XLOOKUP(Transactions[[#This Row],[Sub-category]],TblDV[Sub-category],TblDV[Category],"")</f>
        <v>Charity</v>
      </c>
      <c r="I83" s="6" t="str">
        <f>_xlfn.XLOOKUP(Transactions[[#This Row],[Sub-category]],TblDV[Sub-category],TblDV[Category Type],"")</f>
        <v>Expense</v>
      </c>
    </row>
    <row r="84" spans="1:9">
      <c r="A84" t="s">
        <v>4</v>
      </c>
      <c r="B84" s="5">
        <v>44249</v>
      </c>
      <c r="C84" t="s">
        <v>22</v>
      </c>
      <c r="D84">
        <v>64.1</v>
      </c>
      <c r="F84" s="7">
        <f t="shared" si="1"/>
        <v>-64.1</v>
      </c>
      <c r="G84" s="6" t="s">
        <v>23</v>
      </c>
      <c r="H84" s="6" t="str">
        <f>_xlfn.XLOOKUP(Transactions[[#This Row],[Sub-category]],TblDV[Sub-category],TblDV[Category],"")</f>
        <v>Transport</v>
      </c>
      <c r="I84" s="6" t="str">
        <f>_xlfn.XLOOKUP(Transactions[[#This Row],[Sub-category]],TblDV[Sub-category],TblDV[Category Type],"")</f>
        <v>Expense</v>
      </c>
    </row>
    <row r="85" spans="1:9">
      <c r="A85" t="s">
        <v>4</v>
      </c>
      <c r="B85" s="5">
        <v>44249</v>
      </c>
      <c r="C85" t="s">
        <v>12</v>
      </c>
      <c r="D85">
        <v>5</v>
      </c>
      <c r="F85" s="7">
        <f t="shared" si="1"/>
        <v>-5</v>
      </c>
      <c r="G85" s="6" t="s">
        <v>13</v>
      </c>
      <c r="H85" s="6" t="str">
        <f>_xlfn.XLOOKUP(Transactions[[#This Row],[Sub-category]],TblDV[Sub-category],TblDV[Category],"")</f>
        <v>Dining Out</v>
      </c>
      <c r="I85" s="6" t="str">
        <f>_xlfn.XLOOKUP(Transactions[[#This Row],[Sub-category]],TblDV[Sub-category],TblDV[Category Type],"")</f>
        <v>Expense</v>
      </c>
    </row>
    <row r="86" spans="1:9">
      <c r="A86" t="s">
        <v>4</v>
      </c>
      <c r="B86" s="5">
        <v>44250</v>
      </c>
      <c r="C86" t="s">
        <v>12</v>
      </c>
      <c r="D86">
        <v>5</v>
      </c>
      <c r="F86" s="7">
        <f t="shared" si="1"/>
        <v>-5</v>
      </c>
      <c r="G86" s="6" t="s">
        <v>13</v>
      </c>
      <c r="H86" s="6" t="str">
        <f>_xlfn.XLOOKUP(Transactions[[#This Row],[Sub-category]],TblDV[Sub-category],TblDV[Category],"")</f>
        <v>Dining Out</v>
      </c>
      <c r="I86" s="6" t="str">
        <f>_xlfn.XLOOKUP(Transactions[[#This Row],[Sub-category]],TblDV[Sub-category],TblDV[Category Type],"")</f>
        <v>Expense</v>
      </c>
    </row>
    <row r="87" spans="1:9">
      <c r="A87" t="s">
        <v>4</v>
      </c>
      <c r="B87" s="5">
        <v>44251</v>
      </c>
      <c r="C87" t="s">
        <v>12</v>
      </c>
      <c r="D87">
        <v>5</v>
      </c>
      <c r="F87" s="7">
        <f t="shared" si="1"/>
        <v>-5</v>
      </c>
      <c r="G87" s="6" t="s">
        <v>13</v>
      </c>
      <c r="H87" s="6" t="str">
        <f>_xlfn.XLOOKUP(Transactions[[#This Row],[Sub-category]],TblDV[Sub-category],TblDV[Category],"")</f>
        <v>Dining Out</v>
      </c>
      <c r="I87" s="6" t="str">
        <f>_xlfn.XLOOKUP(Transactions[[#This Row],[Sub-category]],TblDV[Sub-category],TblDV[Category Type],"")</f>
        <v>Expense</v>
      </c>
    </row>
    <row r="88" spans="1:9">
      <c r="A88" t="s">
        <v>4</v>
      </c>
      <c r="B88" s="5">
        <v>44252</v>
      </c>
      <c r="C88" t="s">
        <v>12</v>
      </c>
      <c r="D88">
        <v>5</v>
      </c>
      <c r="F88" s="7">
        <f t="shared" si="1"/>
        <v>-5</v>
      </c>
      <c r="G88" s="6" t="s">
        <v>13</v>
      </c>
      <c r="H88" s="6" t="str">
        <f>_xlfn.XLOOKUP(Transactions[[#This Row],[Sub-category]],TblDV[Sub-category],TblDV[Category],"")</f>
        <v>Dining Out</v>
      </c>
      <c r="I88" s="6" t="str">
        <f>_xlfn.XLOOKUP(Transactions[[#This Row],[Sub-category]],TblDV[Sub-category],TblDV[Category Type],"")</f>
        <v>Expense</v>
      </c>
    </row>
    <row r="89" spans="1:9">
      <c r="A89" t="s">
        <v>4</v>
      </c>
      <c r="B89" s="5">
        <v>44253</v>
      </c>
      <c r="C89" t="s">
        <v>12</v>
      </c>
      <c r="D89">
        <v>5</v>
      </c>
      <c r="F89" s="7">
        <f t="shared" si="1"/>
        <v>-5</v>
      </c>
      <c r="G89" s="6" t="s">
        <v>13</v>
      </c>
      <c r="H89" s="6" t="str">
        <f>_xlfn.XLOOKUP(Transactions[[#This Row],[Sub-category]],TblDV[Sub-category],TblDV[Category],"")</f>
        <v>Dining Out</v>
      </c>
      <c r="I89" s="6" t="str">
        <f>_xlfn.XLOOKUP(Transactions[[#This Row],[Sub-category]],TblDV[Sub-category],TblDV[Category Type],"")</f>
        <v>Expense</v>
      </c>
    </row>
    <row r="90" spans="1:9">
      <c r="A90" t="s">
        <v>4</v>
      </c>
      <c r="B90" s="5">
        <v>44253</v>
      </c>
      <c r="C90" t="s">
        <v>18</v>
      </c>
      <c r="D90">
        <v>162.9</v>
      </c>
      <c r="F90" s="7">
        <f t="shared" si="1"/>
        <v>-162.9</v>
      </c>
      <c r="G90" s="6" t="s">
        <v>19</v>
      </c>
      <c r="H90" s="6" t="str">
        <f>_xlfn.XLOOKUP(Transactions[[#This Row],[Sub-category]],TblDV[Sub-category],TblDV[Category],"")</f>
        <v>Living Expenses</v>
      </c>
      <c r="I90" s="6" t="str">
        <f>_xlfn.XLOOKUP(Transactions[[#This Row],[Sub-category]],TblDV[Sub-category],TblDV[Category Type],"")</f>
        <v>Expense</v>
      </c>
    </row>
    <row r="91" spans="1:9">
      <c r="A91" t="s">
        <v>4</v>
      </c>
      <c r="B91" s="5">
        <v>44254</v>
      </c>
      <c r="C91" t="s">
        <v>45</v>
      </c>
      <c r="D91">
        <v>125.9</v>
      </c>
      <c r="F91" s="7">
        <f t="shared" si="1"/>
        <v>-125.9</v>
      </c>
      <c r="G91" s="6" t="s">
        <v>27</v>
      </c>
      <c r="H91" s="6" t="str">
        <f>_xlfn.XLOOKUP(Transactions[[#This Row],[Sub-category]],TblDV[Sub-category],TblDV[Category],"")</f>
        <v>Discretionary</v>
      </c>
      <c r="I91" s="6" t="str">
        <f>_xlfn.XLOOKUP(Transactions[[#This Row],[Sub-category]],TblDV[Sub-category],TblDV[Category Type],"")</f>
        <v>Expense</v>
      </c>
    </row>
    <row r="92" spans="1:9">
      <c r="A92" t="s">
        <v>4</v>
      </c>
      <c r="B92" s="5">
        <v>44254</v>
      </c>
      <c r="C92" t="s">
        <v>47</v>
      </c>
      <c r="D92">
        <v>137</v>
      </c>
      <c r="F92" s="7">
        <f t="shared" si="1"/>
        <v>-137</v>
      </c>
      <c r="G92" s="6" t="s">
        <v>27</v>
      </c>
      <c r="H92" s="6" t="str">
        <f>_xlfn.XLOOKUP(Transactions[[#This Row],[Sub-category]],TblDV[Sub-category],TblDV[Category],"")</f>
        <v>Discretionary</v>
      </c>
      <c r="I92" s="6" t="str">
        <f>_xlfn.XLOOKUP(Transactions[[#This Row],[Sub-category]],TblDV[Sub-category],TblDV[Category Type],"")</f>
        <v>Expense</v>
      </c>
    </row>
    <row r="93" spans="1:9">
      <c r="A93" t="s">
        <v>4</v>
      </c>
      <c r="B93" s="5">
        <v>44255</v>
      </c>
      <c r="C93" t="s">
        <v>26</v>
      </c>
      <c r="D93">
        <v>146.1</v>
      </c>
      <c r="F93" s="7">
        <f t="shared" si="1"/>
        <v>-146.1</v>
      </c>
      <c r="G93" s="6" t="s">
        <v>27</v>
      </c>
      <c r="H93" s="6" t="str">
        <f>_xlfn.XLOOKUP(Transactions[[#This Row],[Sub-category]],TblDV[Sub-category],TblDV[Category],"")</f>
        <v>Discretionary</v>
      </c>
      <c r="I93" s="6" t="str">
        <f>_xlfn.XLOOKUP(Transactions[[#This Row],[Sub-category]],TblDV[Sub-category],TblDV[Category Type],"")</f>
        <v>Expense</v>
      </c>
    </row>
    <row r="94" spans="1:9">
      <c r="A94" t="s">
        <v>4</v>
      </c>
      <c r="B94" s="5">
        <v>44255</v>
      </c>
      <c r="C94" t="s">
        <v>30</v>
      </c>
      <c r="D94">
        <v>24.1</v>
      </c>
      <c r="F94" s="7">
        <f t="shared" si="1"/>
        <v>-24.1</v>
      </c>
      <c r="G94" s="6" t="s">
        <v>31</v>
      </c>
      <c r="H94" s="6" t="str">
        <f>_xlfn.XLOOKUP(Transactions[[#This Row],[Sub-category]],TblDV[Sub-category],TblDV[Category],"")</f>
        <v>Transport</v>
      </c>
      <c r="I94" s="6" t="str">
        <f>_xlfn.XLOOKUP(Transactions[[#This Row],[Sub-category]],TblDV[Sub-category],TblDV[Category Type],"")</f>
        <v>Expense</v>
      </c>
    </row>
    <row r="95" spans="1:9">
      <c r="A95" t="s">
        <v>9</v>
      </c>
      <c r="B95" s="5">
        <v>44256</v>
      </c>
      <c r="C95" t="s">
        <v>10</v>
      </c>
      <c r="E95">
        <v>4000</v>
      </c>
      <c r="F95" s="7">
        <f t="shared" si="1"/>
        <v>4000</v>
      </c>
      <c r="G95" s="6" t="s">
        <v>11</v>
      </c>
      <c r="H95" s="6" t="str">
        <f>_xlfn.XLOOKUP(Transactions[[#This Row],[Sub-category]],TblDV[Sub-category],TblDV[Category],"")</f>
        <v>Salary</v>
      </c>
      <c r="I95" s="6" t="str">
        <f>_xlfn.XLOOKUP(Transactions[[#This Row],[Sub-category]],TblDV[Sub-category],TblDV[Category Type],"")</f>
        <v>Income</v>
      </c>
    </row>
    <row r="96" spans="1:9">
      <c r="A96" t="s">
        <v>4</v>
      </c>
      <c r="B96" s="5">
        <v>44256</v>
      </c>
      <c r="C96" t="s">
        <v>12</v>
      </c>
      <c r="D96">
        <v>5</v>
      </c>
      <c r="F96" s="7">
        <f t="shared" si="1"/>
        <v>-5</v>
      </c>
      <c r="G96" s="6" t="s">
        <v>13</v>
      </c>
      <c r="H96" s="6" t="str">
        <f>_xlfn.XLOOKUP(Transactions[[#This Row],[Sub-category]],TblDV[Sub-category],TblDV[Category],"")</f>
        <v>Dining Out</v>
      </c>
      <c r="I96" s="6" t="str">
        <f>_xlfn.XLOOKUP(Transactions[[#This Row],[Sub-category]],TblDV[Sub-category],TblDV[Category Type],"")</f>
        <v>Expense</v>
      </c>
    </row>
    <row r="97" spans="1:9">
      <c r="A97" t="s">
        <v>9</v>
      </c>
      <c r="B97" s="5">
        <v>44257</v>
      </c>
      <c r="C97" t="s">
        <v>14</v>
      </c>
      <c r="D97">
        <v>900</v>
      </c>
      <c r="F97" s="7">
        <f t="shared" si="1"/>
        <v>-900</v>
      </c>
      <c r="G97" s="6" t="s">
        <v>15</v>
      </c>
      <c r="H97" s="6" t="str">
        <f>_xlfn.XLOOKUP(Transactions[[#This Row],[Sub-category]],TblDV[Sub-category],TblDV[Category],"")</f>
        <v>Living Expenses</v>
      </c>
      <c r="I97" s="6" t="str">
        <f>_xlfn.XLOOKUP(Transactions[[#This Row],[Sub-category]],TblDV[Sub-category],TblDV[Category Type],"")</f>
        <v>Expense</v>
      </c>
    </row>
    <row r="98" spans="1:9">
      <c r="A98" t="s">
        <v>9</v>
      </c>
      <c r="B98" s="5">
        <v>44257</v>
      </c>
      <c r="C98" t="s">
        <v>16</v>
      </c>
      <c r="D98">
        <v>150</v>
      </c>
      <c r="F98" s="7">
        <f t="shared" si="1"/>
        <v>-150</v>
      </c>
      <c r="G98" s="6" t="s">
        <v>17</v>
      </c>
      <c r="H98" s="6" t="str">
        <f>_xlfn.XLOOKUP(Transactions[[#This Row],[Sub-category]],TblDV[Sub-category],TblDV[Category],"")</f>
        <v>Transport</v>
      </c>
      <c r="I98" s="6" t="str">
        <f>_xlfn.XLOOKUP(Transactions[[#This Row],[Sub-category]],TblDV[Sub-category],TblDV[Category Type],"")</f>
        <v>Expense</v>
      </c>
    </row>
    <row r="99" spans="1:9">
      <c r="A99" t="s">
        <v>4</v>
      </c>
      <c r="B99" s="5">
        <v>44257</v>
      </c>
      <c r="C99" t="s">
        <v>12</v>
      </c>
      <c r="D99">
        <v>5</v>
      </c>
      <c r="F99" s="7">
        <f t="shared" si="1"/>
        <v>-5</v>
      </c>
      <c r="G99" s="6" t="s">
        <v>13</v>
      </c>
      <c r="H99" s="6" t="str">
        <f>_xlfn.XLOOKUP(Transactions[[#This Row],[Sub-category]],TblDV[Sub-category],TblDV[Category],"")</f>
        <v>Dining Out</v>
      </c>
      <c r="I99" s="6" t="str">
        <f>_xlfn.XLOOKUP(Transactions[[#This Row],[Sub-category]],TblDV[Sub-category],TblDV[Category Type],"")</f>
        <v>Expense</v>
      </c>
    </row>
    <row r="100" spans="1:9">
      <c r="A100" t="s">
        <v>4</v>
      </c>
      <c r="B100" s="5">
        <v>44258</v>
      </c>
      <c r="C100" t="s">
        <v>12</v>
      </c>
      <c r="D100">
        <v>5</v>
      </c>
      <c r="F100" s="7">
        <f t="shared" si="1"/>
        <v>-5</v>
      </c>
      <c r="G100" s="6" t="s">
        <v>13</v>
      </c>
      <c r="H100" s="6" t="str">
        <f>_xlfn.XLOOKUP(Transactions[[#This Row],[Sub-category]],TblDV[Sub-category],TblDV[Category],"")</f>
        <v>Dining Out</v>
      </c>
      <c r="I100" s="6" t="str">
        <f>_xlfn.XLOOKUP(Transactions[[#This Row],[Sub-category]],TblDV[Sub-category],TblDV[Category Type],"")</f>
        <v>Expense</v>
      </c>
    </row>
    <row r="101" spans="1:9">
      <c r="A101" t="s">
        <v>4</v>
      </c>
      <c r="B101" s="5">
        <v>44259</v>
      </c>
      <c r="C101" t="s">
        <v>12</v>
      </c>
      <c r="D101">
        <v>5</v>
      </c>
      <c r="F101" s="7">
        <f t="shared" si="1"/>
        <v>-5</v>
      </c>
      <c r="G101" s="6" t="s">
        <v>13</v>
      </c>
      <c r="H101" s="6" t="str">
        <f>_xlfn.XLOOKUP(Transactions[[#This Row],[Sub-category]],TblDV[Sub-category],TblDV[Category],"")</f>
        <v>Dining Out</v>
      </c>
      <c r="I101" s="6" t="str">
        <f>_xlfn.XLOOKUP(Transactions[[#This Row],[Sub-category]],TblDV[Sub-category],TblDV[Category Type],"")</f>
        <v>Expense</v>
      </c>
    </row>
    <row r="102" spans="1:9">
      <c r="A102" t="s">
        <v>4</v>
      </c>
      <c r="B102" s="5">
        <v>44260</v>
      </c>
      <c r="C102" t="s">
        <v>12</v>
      </c>
      <c r="D102">
        <v>5</v>
      </c>
      <c r="F102" s="7">
        <f t="shared" si="1"/>
        <v>-5</v>
      </c>
      <c r="G102" s="6" t="s">
        <v>13</v>
      </c>
      <c r="H102" s="6" t="str">
        <f>_xlfn.XLOOKUP(Transactions[[#This Row],[Sub-category]],TblDV[Sub-category],TblDV[Category],"")</f>
        <v>Dining Out</v>
      </c>
      <c r="I102" s="6" t="str">
        <f>_xlfn.XLOOKUP(Transactions[[#This Row],[Sub-category]],TblDV[Sub-category],TblDV[Category Type],"")</f>
        <v>Expense</v>
      </c>
    </row>
    <row r="103" spans="1:9">
      <c r="A103" t="s">
        <v>4</v>
      </c>
      <c r="B103" s="5">
        <v>44260</v>
      </c>
      <c r="C103" t="s">
        <v>18</v>
      </c>
      <c r="D103">
        <v>149</v>
      </c>
      <c r="F103" s="7">
        <f t="shared" si="1"/>
        <v>-149</v>
      </c>
      <c r="G103" s="6" t="s">
        <v>19</v>
      </c>
      <c r="H103" s="6" t="str">
        <f>_xlfn.XLOOKUP(Transactions[[#This Row],[Sub-category]],TblDV[Sub-category],TblDV[Category],"")</f>
        <v>Living Expenses</v>
      </c>
      <c r="I103" s="6" t="str">
        <f>_xlfn.XLOOKUP(Transactions[[#This Row],[Sub-category]],TblDV[Sub-category],TblDV[Category Type],"")</f>
        <v>Expense</v>
      </c>
    </row>
    <row r="104" spans="1:9">
      <c r="A104" t="s">
        <v>9</v>
      </c>
      <c r="B104" s="5">
        <v>44263</v>
      </c>
      <c r="C104" t="s">
        <v>20</v>
      </c>
      <c r="D104">
        <v>52.1</v>
      </c>
      <c r="F104" s="7">
        <f t="shared" si="1"/>
        <v>-52.1</v>
      </c>
      <c r="G104" s="6" t="s">
        <v>21</v>
      </c>
      <c r="H104" s="6" t="str">
        <f>_xlfn.XLOOKUP(Transactions[[#This Row],[Sub-category]],TblDV[Sub-category],TblDV[Category],"")</f>
        <v>Living Expenses</v>
      </c>
      <c r="I104" s="6" t="str">
        <f>_xlfn.XLOOKUP(Transactions[[#This Row],[Sub-category]],TblDV[Sub-category],TblDV[Category Type],"")</f>
        <v>Expense</v>
      </c>
    </row>
    <row r="105" spans="1:9">
      <c r="A105" t="s">
        <v>4</v>
      </c>
      <c r="B105" s="5">
        <v>44263</v>
      </c>
      <c r="C105" t="s">
        <v>12</v>
      </c>
      <c r="D105">
        <v>5</v>
      </c>
      <c r="F105" s="7">
        <f t="shared" si="1"/>
        <v>-5</v>
      </c>
      <c r="G105" s="6" t="s">
        <v>13</v>
      </c>
      <c r="H105" s="6" t="str">
        <f>_xlfn.XLOOKUP(Transactions[[#This Row],[Sub-category]],TblDV[Sub-category],TblDV[Category],"")</f>
        <v>Dining Out</v>
      </c>
      <c r="I105" s="6" t="str">
        <f>_xlfn.XLOOKUP(Transactions[[#This Row],[Sub-category]],TblDV[Sub-category],TblDV[Category Type],"")</f>
        <v>Expense</v>
      </c>
    </row>
    <row r="106" spans="1:9">
      <c r="A106" t="s">
        <v>4</v>
      </c>
      <c r="B106" s="5">
        <v>44264</v>
      </c>
      <c r="C106" t="s">
        <v>12</v>
      </c>
      <c r="D106">
        <v>5</v>
      </c>
      <c r="F106" s="7">
        <f t="shared" si="1"/>
        <v>-5</v>
      </c>
      <c r="G106" s="6" t="s">
        <v>13</v>
      </c>
      <c r="H106" s="6" t="str">
        <f>_xlfn.XLOOKUP(Transactions[[#This Row],[Sub-category]],TblDV[Sub-category],TblDV[Category],"")</f>
        <v>Dining Out</v>
      </c>
      <c r="I106" s="6" t="str">
        <f>_xlfn.XLOOKUP(Transactions[[#This Row],[Sub-category]],TblDV[Sub-category],TblDV[Category Type],"")</f>
        <v>Expense</v>
      </c>
    </row>
    <row r="107" spans="1:9">
      <c r="A107" t="s">
        <v>4</v>
      </c>
      <c r="B107" s="5">
        <v>44265</v>
      </c>
      <c r="C107" t="s">
        <v>22</v>
      </c>
      <c r="D107">
        <v>78.9</v>
      </c>
      <c r="F107" s="7">
        <f t="shared" si="1"/>
        <v>-78.9</v>
      </c>
      <c r="G107" s="6" t="s">
        <v>23</v>
      </c>
      <c r="H107" s="6" t="str">
        <f>_xlfn.XLOOKUP(Transactions[[#This Row],[Sub-category]],TblDV[Sub-category],TblDV[Category],"")</f>
        <v>Transport</v>
      </c>
      <c r="I107" s="6" t="str">
        <f>_xlfn.XLOOKUP(Transactions[[#This Row],[Sub-category]],TblDV[Sub-category],TblDV[Category Type],"")</f>
        <v>Expense</v>
      </c>
    </row>
    <row r="108" spans="1:9">
      <c r="A108" t="s">
        <v>4</v>
      </c>
      <c r="B108" s="5">
        <v>44265</v>
      </c>
      <c r="C108" t="s">
        <v>12</v>
      </c>
      <c r="D108">
        <v>5</v>
      </c>
      <c r="F108" s="7">
        <f t="shared" si="1"/>
        <v>-5</v>
      </c>
      <c r="G108" s="6" t="s">
        <v>13</v>
      </c>
      <c r="H108" s="6" t="str">
        <f>_xlfn.XLOOKUP(Transactions[[#This Row],[Sub-category]],TblDV[Sub-category],TblDV[Category],"")</f>
        <v>Dining Out</v>
      </c>
      <c r="I108" s="6" t="str">
        <f>_xlfn.XLOOKUP(Transactions[[#This Row],[Sub-category]],TblDV[Sub-category],TblDV[Category Type],"")</f>
        <v>Expense</v>
      </c>
    </row>
    <row r="109" spans="1:9">
      <c r="A109" t="s">
        <v>4</v>
      </c>
      <c r="B109" s="5">
        <v>44266</v>
      </c>
      <c r="C109" t="s">
        <v>12</v>
      </c>
      <c r="D109">
        <v>5</v>
      </c>
      <c r="F109" s="7">
        <f t="shared" si="1"/>
        <v>-5</v>
      </c>
      <c r="G109" s="6" t="s">
        <v>13</v>
      </c>
      <c r="H109" s="6" t="str">
        <f>_xlfn.XLOOKUP(Transactions[[#This Row],[Sub-category]],TblDV[Sub-category],TblDV[Category],"")</f>
        <v>Dining Out</v>
      </c>
      <c r="I109" s="6" t="str">
        <f>_xlfn.XLOOKUP(Transactions[[#This Row],[Sub-category]],TblDV[Sub-category],TblDV[Category Type],"")</f>
        <v>Expense</v>
      </c>
    </row>
    <row r="110" spans="1:9">
      <c r="A110" t="s">
        <v>4</v>
      </c>
      <c r="B110" s="5">
        <v>44267</v>
      </c>
      <c r="C110" t="s">
        <v>18</v>
      </c>
      <c r="D110">
        <v>137</v>
      </c>
      <c r="F110" s="7">
        <f t="shared" si="1"/>
        <v>-137</v>
      </c>
      <c r="G110" s="6" t="s">
        <v>19</v>
      </c>
      <c r="H110" s="6" t="str">
        <f>_xlfn.XLOOKUP(Transactions[[#This Row],[Sub-category]],TblDV[Sub-category],TblDV[Category],"")</f>
        <v>Living Expenses</v>
      </c>
      <c r="I110" s="6" t="str">
        <f>_xlfn.XLOOKUP(Transactions[[#This Row],[Sub-category]],TblDV[Sub-category],TblDV[Category Type],"")</f>
        <v>Expense</v>
      </c>
    </row>
    <row r="111" spans="1:9">
      <c r="A111" t="s">
        <v>4</v>
      </c>
      <c r="B111" s="5">
        <v>44267</v>
      </c>
      <c r="C111" t="s">
        <v>12</v>
      </c>
      <c r="D111">
        <v>5</v>
      </c>
      <c r="F111" s="7">
        <f t="shared" si="1"/>
        <v>-5</v>
      </c>
      <c r="G111" s="6" t="s">
        <v>13</v>
      </c>
      <c r="H111" s="6" t="str">
        <f>_xlfn.XLOOKUP(Transactions[[#This Row],[Sub-category]],TblDV[Sub-category],TblDV[Category],"")</f>
        <v>Dining Out</v>
      </c>
      <c r="I111" s="6" t="str">
        <f>_xlfn.XLOOKUP(Transactions[[#This Row],[Sub-category]],TblDV[Sub-category],TblDV[Category Type],"")</f>
        <v>Expense</v>
      </c>
    </row>
    <row r="112" spans="1:9">
      <c r="A112" t="s">
        <v>4</v>
      </c>
      <c r="B112" s="5">
        <v>44268</v>
      </c>
      <c r="C112" t="s">
        <v>12</v>
      </c>
      <c r="D112">
        <v>5</v>
      </c>
      <c r="F112" s="7">
        <f t="shared" si="1"/>
        <v>-5</v>
      </c>
      <c r="G112" s="6" t="s">
        <v>13</v>
      </c>
      <c r="H112" s="6" t="str">
        <f>_xlfn.XLOOKUP(Transactions[[#This Row],[Sub-category]],TblDV[Sub-category],TblDV[Category],"")</f>
        <v>Dining Out</v>
      </c>
      <c r="I112" s="6" t="str">
        <f>_xlfn.XLOOKUP(Transactions[[#This Row],[Sub-category]],TblDV[Sub-category],TblDV[Category Type],"")</f>
        <v>Expense</v>
      </c>
    </row>
    <row r="113" spans="1:9">
      <c r="A113" t="s">
        <v>4</v>
      </c>
      <c r="B113" s="5">
        <v>44268</v>
      </c>
      <c r="C113" t="s">
        <v>24</v>
      </c>
      <c r="D113">
        <v>41.8</v>
      </c>
      <c r="F113" s="7">
        <f t="shared" si="1"/>
        <v>-41.8</v>
      </c>
      <c r="G113" s="6" t="s">
        <v>25</v>
      </c>
      <c r="H113" s="6" t="str">
        <f>_xlfn.XLOOKUP(Transactions[[#This Row],[Sub-category]],TblDV[Sub-category],TblDV[Category],"")</f>
        <v>Discretionary</v>
      </c>
      <c r="I113" s="6" t="str">
        <f>_xlfn.XLOOKUP(Transactions[[#This Row],[Sub-category]],TblDV[Sub-category],TblDV[Category Type],"")</f>
        <v>Expense</v>
      </c>
    </row>
    <row r="114" spans="1:9">
      <c r="A114" t="s">
        <v>4</v>
      </c>
      <c r="B114" s="5">
        <v>44268</v>
      </c>
      <c r="C114" t="s">
        <v>26</v>
      </c>
      <c r="D114">
        <v>99.9</v>
      </c>
      <c r="F114" s="7">
        <f t="shared" si="1"/>
        <v>-99.9</v>
      </c>
      <c r="G114" s="6" t="s">
        <v>27</v>
      </c>
      <c r="H114" s="6" t="str">
        <f>_xlfn.XLOOKUP(Transactions[[#This Row],[Sub-category]],TblDV[Sub-category],TblDV[Category],"")</f>
        <v>Discretionary</v>
      </c>
      <c r="I114" s="6" t="str">
        <f>_xlfn.XLOOKUP(Transactions[[#This Row],[Sub-category]],TblDV[Sub-category],TblDV[Category Type],"")</f>
        <v>Expense</v>
      </c>
    </row>
    <row r="115" spans="1:9">
      <c r="A115" t="s">
        <v>4</v>
      </c>
      <c r="B115" s="5">
        <v>44268</v>
      </c>
      <c r="C115" t="s">
        <v>28</v>
      </c>
      <c r="D115">
        <v>54</v>
      </c>
      <c r="F115" s="7">
        <f t="shared" si="1"/>
        <v>-54</v>
      </c>
      <c r="G115" s="6" t="s">
        <v>29</v>
      </c>
      <c r="H115" s="6" t="str">
        <f>_xlfn.XLOOKUP(Transactions[[#This Row],[Sub-category]],TblDV[Sub-category],TblDV[Category],"")</f>
        <v>Dining Out</v>
      </c>
      <c r="I115" s="6" t="str">
        <f>_xlfn.XLOOKUP(Transactions[[#This Row],[Sub-category]],TblDV[Sub-category],TblDV[Category Type],"")</f>
        <v>Expense</v>
      </c>
    </row>
    <row r="116" spans="1:9">
      <c r="A116" t="s">
        <v>4</v>
      </c>
      <c r="B116" s="5">
        <v>44269</v>
      </c>
      <c r="C116" t="s">
        <v>30</v>
      </c>
      <c r="D116">
        <v>30</v>
      </c>
      <c r="F116" s="7">
        <f t="shared" si="1"/>
        <v>-30</v>
      </c>
      <c r="G116" s="6" t="s">
        <v>31</v>
      </c>
      <c r="H116" s="6" t="str">
        <f>_xlfn.XLOOKUP(Transactions[[#This Row],[Sub-category]],TblDV[Sub-category],TblDV[Category],"")</f>
        <v>Transport</v>
      </c>
      <c r="I116" s="6" t="str">
        <f>_xlfn.XLOOKUP(Transactions[[#This Row],[Sub-category]],TblDV[Sub-category],TblDV[Category Type],"")</f>
        <v>Expense</v>
      </c>
    </row>
    <row r="117" spans="1:9">
      <c r="A117" t="s">
        <v>9</v>
      </c>
      <c r="B117" s="5">
        <v>44270</v>
      </c>
      <c r="C117" t="s">
        <v>32</v>
      </c>
      <c r="D117">
        <v>30</v>
      </c>
      <c r="F117" s="7">
        <f t="shared" si="1"/>
        <v>-30</v>
      </c>
      <c r="G117" s="6" t="s">
        <v>33</v>
      </c>
      <c r="H117" s="6" t="str">
        <f>_xlfn.XLOOKUP(Transactions[[#This Row],[Sub-category]],TblDV[Sub-category],TblDV[Category],"")</f>
        <v>Discretionary</v>
      </c>
      <c r="I117" s="6" t="str">
        <f>_xlfn.XLOOKUP(Transactions[[#This Row],[Sub-category]],TblDV[Sub-category],TblDV[Category Type],"")</f>
        <v>Expense</v>
      </c>
    </row>
    <row r="118" spans="1:9">
      <c r="A118" t="s">
        <v>4</v>
      </c>
      <c r="B118" s="5">
        <v>44270</v>
      </c>
      <c r="C118" t="s">
        <v>12</v>
      </c>
      <c r="D118">
        <v>5</v>
      </c>
      <c r="F118" s="7">
        <f t="shared" si="1"/>
        <v>-5</v>
      </c>
      <c r="G118" s="6" t="s">
        <v>13</v>
      </c>
      <c r="H118" s="6" t="str">
        <f>_xlfn.XLOOKUP(Transactions[[#This Row],[Sub-category]],TblDV[Sub-category],TblDV[Category],"")</f>
        <v>Dining Out</v>
      </c>
      <c r="I118" s="6" t="str">
        <f>_xlfn.XLOOKUP(Transactions[[#This Row],[Sub-category]],TblDV[Sub-category],TblDV[Category Type],"")</f>
        <v>Expense</v>
      </c>
    </row>
    <row r="119" spans="1:9">
      <c r="A119" t="s">
        <v>4</v>
      </c>
      <c r="B119" s="5">
        <v>44271</v>
      </c>
      <c r="C119" t="s">
        <v>12</v>
      </c>
      <c r="D119">
        <v>5</v>
      </c>
      <c r="F119" s="7">
        <f t="shared" si="1"/>
        <v>-5</v>
      </c>
      <c r="G119" s="6" t="s">
        <v>13</v>
      </c>
      <c r="H119" s="6" t="str">
        <f>_xlfn.XLOOKUP(Transactions[[#This Row],[Sub-category]],TblDV[Sub-category],TblDV[Category],"")</f>
        <v>Dining Out</v>
      </c>
      <c r="I119" s="6" t="str">
        <f>_xlfn.XLOOKUP(Transactions[[#This Row],[Sub-category]],TblDV[Sub-category],TblDV[Category Type],"")</f>
        <v>Expense</v>
      </c>
    </row>
    <row r="120" spans="1:9">
      <c r="A120" t="s">
        <v>9</v>
      </c>
      <c r="B120" s="5">
        <v>44271</v>
      </c>
      <c r="C120" t="s">
        <v>48</v>
      </c>
      <c r="D120">
        <v>75</v>
      </c>
      <c r="F120" s="7">
        <f t="shared" si="1"/>
        <v>-75</v>
      </c>
      <c r="G120" s="6" t="s">
        <v>49</v>
      </c>
      <c r="H120" s="6" t="str">
        <f>_xlfn.XLOOKUP(Transactions[[#This Row],[Sub-category]],TblDV[Sub-category],TblDV[Category],"")</f>
        <v>Medical</v>
      </c>
      <c r="I120" s="6" t="str">
        <f>_xlfn.XLOOKUP(Transactions[[#This Row],[Sub-category]],TblDV[Sub-category],TblDV[Category Type],"")</f>
        <v>Expense</v>
      </c>
    </row>
    <row r="121" spans="1:9">
      <c r="A121" t="s">
        <v>9</v>
      </c>
      <c r="B121" s="5">
        <v>44271</v>
      </c>
      <c r="C121" t="s">
        <v>36</v>
      </c>
      <c r="D121">
        <v>40</v>
      </c>
      <c r="F121" s="7">
        <f t="shared" si="1"/>
        <v>-40</v>
      </c>
      <c r="G121" s="6" t="s">
        <v>37</v>
      </c>
      <c r="H121" s="6" t="str">
        <f>_xlfn.XLOOKUP(Transactions[[#This Row],[Sub-category]],TblDV[Sub-category],TblDV[Category],"")</f>
        <v>Living Expenses</v>
      </c>
      <c r="I121" s="6" t="str">
        <f>_xlfn.XLOOKUP(Transactions[[#This Row],[Sub-category]],TblDV[Sub-category],TblDV[Category Type],"")</f>
        <v>Expense</v>
      </c>
    </row>
    <row r="122" spans="1:9">
      <c r="A122" t="s">
        <v>4</v>
      </c>
      <c r="B122" s="5">
        <v>44272</v>
      </c>
      <c r="C122" t="s">
        <v>38</v>
      </c>
      <c r="D122">
        <v>46.8</v>
      </c>
      <c r="F122" s="7">
        <f t="shared" si="1"/>
        <v>-46.8</v>
      </c>
      <c r="G122" s="6" t="s">
        <v>39</v>
      </c>
      <c r="H122" s="6" t="str">
        <f>_xlfn.XLOOKUP(Transactions[[#This Row],[Sub-category]],TblDV[Sub-category],TblDV[Category],"")</f>
        <v>Discretionary</v>
      </c>
      <c r="I122" s="6" t="str">
        <f>_xlfn.XLOOKUP(Transactions[[#This Row],[Sub-category]],TblDV[Sub-category],TblDV[Category Type],"")</f>
        <v>Expense</v>
      </c>
    </row>
    <row r="123" spans="1:9">
      <c r="A123" t="s">
        <v>4</v>
      </c>
      <c r="B123" s="5">
        <v>44272</v>
      </c>
      <c r="C123" t="s">
        <v>40</v>
      </c>
      <c r="D123">
        <v>35</v>
      </c>
      <c r="F123" s="7">
        <f t="shared" si="1"/>
        <v>-35</v>
      </c>
      <c r="G123" s="6" t="s">
        <v>25</v>
      </c>
      <c r="H123" s="6" t="str">
        <f>_xlfn.XLOOKUP(Transactions[[#This Row],[Sub-category]],TblDV[Sub-category],TblDV[Category],"")</f>
        <v>Discretionary</v>
      </c>
      <c r="I123" s="6" t="str">
        <f>_xlfn.XLOOKUP(Transactions[[#This Row],[Sub-category]],TblDV[Sub-category],TblDV[Category Type],"")</f>
        <v>Expense</v>
      </c>
    </row>
    <row r="124" spans="1:9">
      <c r="A124" t="s">
        <v>4</v>
      </c>
      <c r="B124" s="5">
        <v>44272</v>
      </c>
      <c r="C124" t="s">
        <v>12</v>
      </c>
      <c r="D124">
        <v>5</v>
      </c>
      <c r="F124" s="7">
        <f t="shared" si="1"/>
        <v>-5</v>
      </c>
      <c r="G124" s="6" t="s">
        <v>13</v>
      </c>
      <c r="H124" s="6" t="str">
        <f>_xlfn.XLOOKUP(Transactions[[#This Row],[Sub-category]],TblDV[Sub-category],TblDV[Category],"")</f>
        <v>Dining Out</v>
      </c>
      <c r="I124" s="6" t="str">
        <f>_xlfn.XLOOKUP(Transactions[[#This Row],[Sub-category]],TblDV[Sub-category],TblDV[Category Type],"")</f>
        <v>Expense</v>
      </c>
    </row>
    <row r="125" spans="1:9">
      <c r="A125" t="s">
        <v>4</v>
      </c>
      <c r="B125" s="5">
        <v>44273</v>
      </c>
      <c r="C125" t="s">
        <v>12</v>
      </c>
      <c r="D125">
        <v>5</v>
      </c>
      <c r="F125" s="7">
        <f t="shared" si="1"/>
        <v>-5</v>
      </c>
      <c r="G125" s="6" t="s">
        <v>13</v>
      </c>
      <c r="H125" s="6" t="str">
        <f>_xlfn.XLOOKUP(Transactions[[#This Row],[Sub-category]],TblDV[Sub-category],TblDV[Category],"")</f>
        <v>Dining Out</v>
      </c>
      <c r="I125" s="6" t="str">
        <f>_xlfn.XLOOKUP(Transactions[[#This Row],[Sub-category]],TblDV[Sub-category],TblDV[Category Type],"")</f>
        <v>Expense</v>
      </c>
    </row>
    <row r="126" spans="1:9">
      <c r="A126" t="s">
        <v>4</v>
      </c>
      <c r="B126" s="5">
        <v>44274</v>
      </c>
      <c r="C126" t="s">
        <v>12</v>
      </c>
      <c r="D126">
        <v>5</v>
      </c>
      <c r="F126" s="7">
        <f t="shared" si="1"/>
        <v>-5</v>
      </c>
      <c r="G126" s="6" t="s">
        <v>13</v>
      </c>
      <c r="H126" s="6" t="str">
        <f>_xlfn.XLOOKUP(Transactions[[#This Row],[Sub-category]],TblDV[Sub-category],TblDV[Category],"")</f>
        <v>Dining Out</v>
      </c>
      <c r="I126" s="6" t="str">
        <f>_xlfn.XLOOKUP(Transactions[[#This Row],[Sub-category]],TblDV[Sub-category],TblDV[Category Type],"")</f>
        <v>Expense</v>
      </c>
    </row>
    <row r="127" spans="1:9">
      <c r="A127" t="s">
        <v>4</v>
      </c>
      <c r="B127" s="5">
        <v>44274</v>
      </c>
      <c r="C127" t="s">
        <v>18</v>
      </c>
      <c r="D127">
        <v>171.9</v>
      </c>
      <c r="F127" s="7">
        <f t="shared" si="1"/>
        <v>-171.9</v>
      </c>
      <c r="G127" s="6" t="s">
        <v>19</v>
      </c>
      <c r="H127" s="6" t="str">
        <f>_xlfn.XLOOKUP(Transactions[[#This Row],[Sub-category]],TblDV[Sub-category],TblDV[Category],"")</f>
        <v>Living Expenses</v>
      </c>
      <c r="I127" s="6" t="str">
        <f>_xlfn.XLOOKUP(Transactions[[#This Row],[Sub-category]],TblDV[Sub-category],TblDV[Category Type],"")</f>
        <v>Expense</v>
      </c>
    </row>
    <row r="128" spans="1:9">
      <c r="A128" t="s">
        <v>4</v>
      </c>
      <c r="B128" s="5">
        <v>44275</v>
      </c>
      <c r="C128" t="s">
        <v>41</v>
      </c>
      <c r="D128">
        <v>39</v>
      </c>
      <c r="F128" s="7">
        <f t="shared" si="1"/>
        <v>-39</v>
      </c>
      <c r="G128" s="6" t="s">
        <v>29</v>
      </c>
      <c r="H128" s="6" t="str">
        <f>_xlfn.XLOOKUP(Transactions[[#This Row],[Sub-category]],TblDV[Sub-category],TblDV[Category],"")</f>
        <v>Dining Out</v>
      </c>
      <c r="I128" s="6" t="str">
        <f>_xlfn.XLOOKUP(Transactions[[#This Row],[Sub-category]],TblDV[Sub-category],TblDV[Category Type],"")</f>
        <v>Expense</v>
      </c>
    </row>
    <row r="129" spans="1:9">
      <c r="A129" t="s">
        <v>4</v>
      </c>
      <c r="B129" s="5">
        <v>44276</v>
      </c>
      <c r="C129" t="s">
        <v>42</v>
      </c>
      <c r="D129">
        <v>14</v>
      </c>
      <c r="F129" s="7">
        <f t="shared" si="1"/>
        <v>-14</v>
      </c>
      <c r="G129" s="6" t="s">
        <v>29</v>
      </c>
      <c r="H129" s="6" t="str">
        <f>_xlfn.XLOOKUP(Transactions[[#This Row],[Sub-category]],TblDV[Sub-category],TblDV[Category],"")</f>
        <v>Dining Out</v>
      </c>
      <c r="I129" s="6" t="str">
        <f>_xlfn.XLOOKUP(Transactions[[#This Row],[Sub-category]],TblDV[Sub-category],TblDV[Category Type],"")</f>
        <v>Expense</v>
      </c>
    </row>
    <row r="130" spans="1:9">
      <c r="A130" t="s">
        <v>9</v>
      </c>
      <c r="B130" s="5">
        <v>44277</v>
      </c>
      <c r="C130" t="s">
        <v>43</v>
      </c>
      <c r="D130">
        <v>55</v>
      </c>
      <c r="F130" s="7">
        <f t="shared" ref="F130:F193" si="2">E130-D130</f>
        <v>-55</v>
      </c>
      <c r="G130" s="6" t="s">
        <v>44</v>
      </c>
      <c r="H130" s="6" t="str">
        <f>_xlfn.XLOOKUP(Transactions[[#This Row],[Sub-category]],TblDV[Sub-category],TblDV[Category],"")</f>
        <v>Charity</v>
      </c>
      <c r="I130" s="6" t="str">
        <f>_xlfn.XLOOKUP(Transactions[[#This Row],[Sub-category]],TblDV[Sub-category],TblDV[Category Type],"")</f>
        <v>Expense</v>
      </c>
    </row>
    <row r="131" spans="1:9">
      <c r="A131" t="s">
        <v>4</v>
      </c>
      <c r="B131" s="5">
        <v>44277</v>
      </c>
      <c r="C131" t="s">
        <v>22</v>
      </c>
      <c r="D131">
        <v>65</v>
      </c>
      <c r="F131" s="7">
        <f t="shared" si="2"/>
        <v>-65</v>
      </c>
      <c r="G131" s="6" t="s">
        <v>23</v>
      </c>
      <c r="H131" s="6" t="str">
        <f>_xlfn.XLOOKUP(Transactions[[#This Row],[Sub-category]],TblDV[Sub-category],TblDV[Category],"")</f>
        <v>Transport</v>
      </c>
      <c r="I131" s="6" t="str">
        <f>_xlfn.XLOOKUP(Transactions[[#This Row],[Sub-category]],TblDV[Sub-category],TblDV[Category Type],"")</f>
        <v>Expense</v>
      </c>
    </row>
    <row r="132" spans="1:9">
      <c r="A132" t="s">
        <v>4</v>
      </c>
      <c r="B132" s="5">
        <v>44277</v>
      </c>
      <c r="C132" t="s">
        <v>12</v>
      </c>
      <c r="D132">
        <v>5</v>
      </c>
      <c r="F132" s="7">
        <f t="shared" si="2"/>
        <v>-5</v>
      </c>
      <c r="G132" s="6" t="s">
        <v>13</v>
      </c>
      <c r="H132" s="6" t="str">
        <f>_xlfn.XLOOKUP(Transactions[[#This Row],[Sub-category]],TblDV[Sub-category],TblDV[Category],"")</f>
        <v>Dining Out</v>
      </c>
      <c r="I132" s="6" t="str">
        <f>_xlfn.XLOOKUP(Transactions[[#This Row],[Sub-category]],TblDV[Sub-category],TblDV[Category Type],"")</f>
        <v>Expense</v>
      </c>
    </row>
    <row r="133" spans="1:9">
      <c r="A133" t="s">
        <v>4</v>
      </c>
      <c r="B133" s="5">
        <v>44278</v>
      </c>
      <c r="C133" t="s">
        <v>12</v>
      </c>
      <c r="D133">
        <v>5</v>
      </c>
      <c r="F133" s="7">
        <f t="shared" si="2"/>
        <v>-5</v>
      </c>
      <c r="G133" s="6" t="s">
        <v>13</v>
      </c>
      <c r="H133" s="6" t="str">
        <f>_xlfn.XLOOKUP(Transactions[[#This Row],[Sub-category]],TblDV[Sub-category],TblDV[Category],"")</f>
        <v>Dining Out</v>
      </c>
      <c r="I133" s="6" t="str">
        <f>_xlfn.XLOOKUP(Transactions[[#This Row],[Sub-category]],TblDV[Sub-category],TblDV[Category Type],"")</f>
        <v>Expense</v>
      </c>
    </row>
    <row r="134" spans="1:9">
      <c r="A134" t="s">
        <v>4</v>
      </c>
      <c r="B134" s="5">
        <v>44279</v>
      </c>
      <c r="C134" t="s">
        <v>12</v>
      </c>
      <c r="D134">
        <v>5</v>
      </c>
      <c r="F134" s="7">
        <f t="shared" si="2"/>
        <v>-5</v>
      </c>
      <c r="G134" s="6" t="s">
        <v>13</v>
      </c>
      <c r="H134" s="6" t="str">
        <f>_xlfn.XLOOKUP(Transactions[[#This Row],[Sub-category]],TblDV[Sub-category],TblDV[Category],"")</f>
        <v>Dining Out</v>
      </c>
      <c r="I134" s="6" t="str">
        <f>_xlfn.XLOOKUP(Transactions[[#This Row],[Sub-category]],TblDV[Sub-category],TblDV[Category Type],"")</f>
        <v>Expense</v>
      </c>
    </row>
    <row r="135" spans="1:9">
      <c r="A135" t="s">
        <v>4</v>
      </c>
      <c r="B135" s="5">
        <v>44280</v>
      </c>
      <c r="C135" t="s">
        <v>12</v>
      </c>
      <c r="D135">
        <v>5</v>
      </c>
      <c r="F135" s="7">
        <f t="shared" si="2"/>
        <v>-5</v>
      </c>
      <c r="G135" s="6" t="s">
        <v>13</v>
      </c>
      <c r="H135" s="6" t="str">
        <f>_xlfn.XLOOKUP(Transactions[[#This Row],[Sub-category]],TblDV[Sub-category],TblDV[Category],"")</f>
        <v>Dining Out</v>
      </c>
      <c r="I135" s="6" t="str">
        <f>_xlfn.XLOOKUP(Transactions[[#This Row],[Sub-category]],TblDV[Sub-category],TblDV[Category Type],"")</f>
        <v>Expense</v>
      </c>
    </row>
    <row r="136" spans="1:9">
      <c r="A136" t="s">
        <v>4</v>
      </c>
      <c r="B136" s="5">
        <v>44281</v>
      </c>
      <c r="C136" t="s">
        <v>12</v>
      </c>
      <c r="D136">
        <v>5</v>
      </c>
      <c r="F136" s="7">
        <f t="shared" si="2"/>
        <v>-5</v>
      </c>
      <c r="G136" s="6" t="s">
        <v>13</v>
      </c>
      <c r="H136" s="6" t="str">
        <f>_xlfn.XLOOKUP(Transactions[[#This Row],[Sub-category]],TblDV[Sub-category],TblDV[Category],"")</f>
        <v>Dining Out</v>
      </c>
      <c r="I136" s="6" t="str">
        <f>_xlfn.XLOOKUP(Transactions[[#This Row],[Sub-category]],TblDV[Sub-category],TblDV[Category Type],"")</f>
        <v>Expense</v>
      </c>
    </row>
    <row r="137" spans="1:9">
      <c r="A137" t="s">
        <v>4</v>
      </c>
      <c r="B137" s="5">
        <v>44281</v>
      </c>
      <c r="C137" t="s">
        <v>18</v>
      </c>
      <c r="D137">
        <v>209</v>
      </c>
      <c r="F137" s="7">
        <f t="shared" si="2"/>
        <v>-209</v>
      </c>
      <c r="G137" s="6" t="s">
        <v>19</v>
      </c>
      <c r="H137" s="6" t="str">
        <f>_xlfn.XLOOKUP(Transactions[[#This Row],[Sub-category]],TblDV[Sub-category],TblDV[Category],"")</f>
        <v>Living Expenses</v>
      </c>
      <c r="I137" s="6" t="str">
        <f>_xlfn.XLOOKUP(Transactions[[#This Row],[Sub-category]],TblDV[Sub-category],TblDV[Category Type],"")</f>
        <v>Expense</v>
      </c>
    </row>
    <row r="138" spans="1:9">
      <c r="A138" t="s">
        <v>4</v>
      </c>
      <c r="B138" s="5">
        <v>44282</v>
      </c>
      <c r="C138" t="s">
        <v>45</v>
      </c>
      <c r="D138">
        <v>127</v>
      </c>
      <c r="F138" s="7">
        <f t="shared" si="2"/>
        <v>-127</v>
      </c>
      <c r="G138" s="6" t="s">
        <v>27</v>
      </c>
      <c r="H138" s="6" t="str">
        <f>_xlfn.XLOOKUP(Transactions[[#This Row],[Sub-category]],TblDV[Sub-category],TblDV[Category],"")</f>
        <v>Discretionary</v>
      </c>
      <c r="I138" s="6" t="str">
        <f>_xlfn.XLOOKUP(Transactions[[#This Row],[Sub-category]],TblDV[Sub-category],TblDV[Category Type],"")</f>
        <v>Expense</v>
      </c>
    </row>
    <row r="139" spans="1:9">
      <c r="A139" t="s">
        <v>4</v>
      </c>
      <c r="B139" s="5">
        <v>44282</v>
      </c>
      <c r="C139" t="s">
        <v>50</v>
      </c>
      <c r="D139">
        <v>177.2</v>
      </c>
      <c r="F139" s="7">
        <f t="shared" si="2"/>
        <v>-177.2</v>
      </c>
      <c r="G139" s="6" t="s">
        <v>27</v>
      </c>
      <c r="H139" s="6" t="str">
        <f>_xlfn.XLOOKUP(Transactions[[#This Row],[Sub-category]],TblDV[Sub-category],TblDV[Category],"")</f>
        <v>Discretionary</v>
      </c>
      <c r="I139" s="6" t="str">
        <f>_xlfn.XLOOKUP(Transactions[[#This Row],[Sub-category]],TblDV[Sub-category],TblDV[Category Type],"")</f>
        <v>Expense</v>
      </c>
    </row>
    <row r="140" spans="1:9">
      <c r="A140" t="s">
        <v>4</v>
      </c>
      <c r="B140" s="5">
        <v>44283</v>
      </c>
      <c r="C140" t="s">
        <v>26</v>
      </c>
      <c r="D140">
        <v>147.1</v>
      </c>
      <c r="F140" s="7">
        <f t="shared" si="2"/>
        <v>-147.1</v>
      </c>
      <c r="G140" s="6" t="s">
        <v>27</v>
      </c>
      <c r="H140" s="6" t="str">
        <f>_xlfn.XLOOKUP(Transactions[[#This Row],[Sub-category]],TblDV[Sub-category],TblDV[Category],"")</f>
        <v>Discretionary</v>
      </c>
      <c r="I140" s="6" t="str">
        <f>_xlfn.XLOOKUP(Transactions[[#This Row],[Sub-category]],TblDV[Sub-category],TblDV[Category Type],"")</f>
        <v>Expense</v>
      </c>
    </row>
    <row r="141" spans="1:9">
      <c r="A141" t="s">
        <v>4</v>
      </c>
      <c r="B141" s="5">
        <v>44283</v>
      </c>
      <c r="C141" t="s">
        <v>30</v>
      </c>
      <c r="D141">
        <v>25</v>
      </c>
      <c r="F141" s="7">
        <f t="shared" si="2"/>
        <v>-25</v>
      </c>
      <c r="G141" s="6" t="s">
        <v>31</v>
      </c>
      <c r="H141" s="6" t="str">
        <f>_xlfn.XLOOKUP(Transactions[[#This Row],[Sub-category]],TblDV[Sub-category],TblDV[Category],"")</f>
        <v>Transport</v>
      </c>
      <c r="I141" s="6" t="str">
        <f>_xlfn.XLOOKUP(Transactions[[#This Row],[Sub-category]],TblDV[Sub-category],TblDV[Category Type],"")</f>
        <v>Expense</v>
      </c>
    </row>
    <row r="142" spans="1:9">
      <c r="A142" t="s">
        <v>4</v>
      </c>
      <c r="B142" s="5">
        <v>44284</v>
      </c>
      <c r="C142" t="s">
        <v>51</v>
      </c>
      <c r="D142">
        <v>15</v>
      </c>
      <c r="F142" s="7">
        <f t="shared" si="2"/>
        <v>-15</v>
      </c>
      <c r="G142" s="6" t="s">
        <v>29</v>
      </c>
      <c r="H142" s="6" t="str">
        <f>_xlfn.XLOOKUP(Transactions[[#This Row],[Sub-category]],TblDV[Sub-category],TblDV[Category],"")</f>
        <v>Dining Out</v>
      </c>
      <c r="I142" s="6" t="str">
        <f>_xlfn.XLOOKUP(Transactions[[#This Row],[Sub-category]],TblDV[Sub-category],TblDV[Category Type],"")</f>
        <v>Expense</v>
      </c>
    </row>
    <row r="143" spans="1:9">
      <c r="A143" t="s">
        <v>4</v>
      </c>
      <c r="B143" s="5">
        <v>44285</v>
      </c>
      <c r="C143" t="s">
        <v>12</v>
      </c>
      <c r="D143">
        <v>5</v>
      </c>
      <c r="F143" s="7">
        <f t="shared" si="2"/>
        <v>-5</v>
      </c>
      <c r="G143" s="6" t="s">
        <v>13</v>
      </c>
      <c r="H143" s="6" t="str">
        <f>_xlfn.XLOOKUP(Transactions[[#This Row],[Sub-category]],TblDV[Sub-category],TblDV[Category],"")</f>
        <v>Dining Out</v>
      </c>
      <c r="I143" s="6" t="str">
        <f>_xlfn.XLOOKUP(Transactions[[#This Row],[Sub-category]],TblDV[Sub-category],TblDV[Category Type],"")</f>
        <v>Expense</v>
      </c>
    </row>
    <row r="144" spans="1:9">
      <c r="A144" t="s">
        <v>4</v>
      </c>
      <c r="B144" s="5">
        <v>44286</v>
      </c>
      <c r="C144" t="s">
        <v>12</v>
      </c>
      <c r="D144">
        <v>5</v>
      </c>
      <c r="F144" s="7">
        <f t="shared" si="2"/>
        <v>-5</v>
      </c>
      <c r="G144" s="6" t="s">
        <v>13</v>
      </c>
      <c r="H144" s="6" t="str">
        <f>_xlfn.XLOOKUP(Transactions[[#This Row],[Sub-category]],TblDV[Sub-category],TblDV[Category],"")</f>
        <v>Dining Out</v>
      </c>
      <c r="I144" s="6" t="str">
        <f>_xlfn.XLOOKUP(Transactions[[#This Row],[Sub-category]],TblDV[Sub-category],TblDV[Category Type],"")</f>
        <v>Expense</v>
      </c>
    </row>
    <row r="145" spans="1:9">
      <c r="A145" t="s">
        <v>9</v>
      </c>
      <c r="B145" s="5">
        <v>44287</v>
      </c>
      <c r="C145" t="s">
        <v>10</v>
      </c>
      <c r="E145">
        <v>4000</v>
      </c>
      <c r="F145" s="7">
        <f t="shared" si="2"/>
        <v>4000</v>
      </c>
      <c r="G145" s="6" t="s">
        <v>11</v>
      </c>
      <c r="H145" s="6" t="str">
        <f>_xlfn.XLOOKUP(Transactions[[#This Row],[Sub-category]],TblDV[Sub-category],TblDV[Category],"")</f>
        <v>Salary</v>
      </c>
      <c r="I145" s="6" t="str">
        <f>_xlfn.XLOOKUP(Transactions[[#This Row],[Sub-category]],TblDV[Sub-category],TblDV[Category Type],"")</f>
        <v>Income</v>
      </c>
    </row>
    <row r="146" spans="1:9">
      <c r="A146" t="s">
        <v>4</v>
      </c>
      <c r="B146" s="5">
        <v>44287</v>
      </c>
      <c r="C146" t="s">
        <v>12</v>
      </c>
      <c r="D146">
        <v>5</v>
      </c>
      <c r="F146" s="7">
        <f t="shared" si="2"/>
        <v>-5</v>
      </c>
      <c r="G146" s="6" t="s">
        <v>13</v>
      </c>
      <c r="H146" s="6" t="str">
        <f>_xlfn.XLOOKUP(Transactions[[#This Row],[Sub-category]],TblDV[Sub-category],TblDV[Category],"")</f>
        <v>Dining Out</v>
      </c>
      <c r="I146" s="6" t="str">
        <f>_xlfn.XLOOKUP(Transactions[[#This Row],[Sub-category]],TblDV[Sub-category],TblDV[Category Type],"")</f>
        <v>Expense</v>
      </c>
    </row>
    <row r="147" spans="1:9">
      <c r="A147" t="s">
        <v>9</v>
      </c>
      <c r="B147" s="5">
        <v>44288</v>
      </c>
      <c r="C147" t="s">
        <v>14</v>
      </c>
      <c r="D147">
        <v>900</v>
      </c>
      <c r="F147" s="7">
        <f t="shared" si="2"/>
        <v>-900</v>
      </c>
      <c r="G147" s="6" t="s">
        <v>15</v>
      </c>
      <c r="H147" s="6" t="str">
        <f>_xlfn.XLOOKUP(Transactions[[#This Row],[Sub-category]],TblDV[Sub-category],TblDV[Category],"")</f>
        <v>Living Expenses</v>
      </c>
      <c r="I147" s="6" t="str">
        <f>_xlfn.XLOOKUP(Transactions[[#This Row],[Sub-category]],TblDV[Sub-category],TblDV[Category Type],"")</f>
        <v>Expense</v>
      </c>
    </row>
    <row r="148" spans="1:9">
      <c r="A148" t="s">
        <v>9</v>
      </c>
      <c r="B148" s="5">
        <v>44288</v>
      </c>
      <c r="C148" t="s">
        <v>16</v>
      </c>
      <c r="D148">
        <v>150</v>
      </c>
      <c r="F148" s="7">
        <f t="shared" si="2"/>
        <v>-150</v>
      </c>
      <c r="G148" s="6" t="s">
        <v>17</v>
      </c>
      <c r="H148" s="6" t="str">
        <f>_xlfn.XLOOKUP(Transactions[[#This Row],[Sub-category]],TblDV[Sub-category],TblDV[Category],"")</f>
        <v>Transport</v>
      </c>
      <c r="I148" s="6" t="str">
        <f>_xlfn.XLOOKUP(Transactions[[#This Row],[Sub-category]],TblDV[Sub-category],TblDV[Category Type],"")</f>
        <v>Expense</v>
      </c>
    </row>
    <row r="149" spans="1:9">
      <c r="A149" t="s">
        <v>4</v>
      </c>
      <c r="B149" s="5">
        <v>44288</v>
      </c>
      <c r="C149" t="s">
        <v>12</v>
      </c>
      <c r="D149">
        <v>5</v>
      </c>
      <c r="F149" s="7">
        <f t="shared" si="2"/>
        <v>-5</v>
      </c>
      <c r="G149" s="6" t="s">
        <v>13</v>
      </c>
      <c r="H149" s="6" t="str">
        <f>_xlfn.XLOOKUP(Transactions[[#This Row],[Sub-category]],TblDV[Sub-category],TblDV[Category],"")</f>
        <v>Dining Out</v>
      </c>
      <c r="I149" s="6" t="str">
        <f>_xlfn.XLOOKUP(Transactions[[#This Row],[Sub-category]],TblDV[Sub-category],TblDV[Category Type],"")</f>
        <v>Expense</v>
      </c>
    </row>
    <row r="150" spans="1:9">
      <c r="A150" t="s">
        <v>4</v>
      </c>
      <c r="B150" s="5">
        <v>44289</v>
      </c>
      <c r="C150" t="s">
        <v>12</v>
      </c>
      <c r="D150">
        <v>5</v>
      </c>
      <c r="F150" s="7">
        <f t="shared" si="2"/>
        <v>-5</v>
      </c>
      <c r="G150" s="6" t="s">
        <v>13</v>
      </c>
      <c r="H150" s="6" t="str">
        <f>_xlfn.XLOOKUP(Transactions[[#This Row],[Sub-category]],TblDV[Sub-category],TblDV[Category],"")</f>
        <v>Dining Out</v>
      </c>
      <c r="I150" s="6" t="str">
        <f>_xlfn.XLOOKUP(Transactions[[#This Row],[Sub-category]],TblDV[Sub-category],TblDV[Category Type],"")</f>
        <v>Expense</v>
      </c>
    </row>
    <row r="151" spans="1:9">
      <c r="A151" t="s">
        <v>4</v>
      </c>
      <c r="B151" s="5">
        <v>44290</v>
      </c>
      <c r="C151" t="s">
        <v>12</v>
      </c>
      <c r="D151">
        <v>5</v>
      </c>
      <c r="F151" s="7">
        <f t="shared" si="2"/>
        <v>-5</v>
      </c>
      <c r="G151" s="6" t="s">
        <v>13</v>
      </c>
      <c r="H151" s="6" t="str">
        <f>_xlfn.XLOOKUP(Transactions[[#This Row],[Sub-category]],TblDV[Sub-category],TblDV[Category],"")</f>
        <v>Dining Out</v>
      </c>
      <c r="I151" s="6" t="str">
        <f>_xlfn.XLOOKUP(Transactions[[#This Row],[Sub-category]],TblDV[Sub-category],TblDV[Category Type],"")</f>
        <v>Expense</v>
      </c>
    </row>
    <row r="152" spans="1:9">
      <c r="A152" t="s">
        <v>4</v>
      </c>
      <c r="B152" s="5">
        <v>44291</v>
      </c>
      <c r="C152" t="s">
        <v>12</v>
      </c>
      <c r="D152">
        <v>5</v>
      </c>
      <c r="F152" s="7">
        <f t="shared" si="2"/>
        <v>-5</v>
      </c>
      <c r="G152" s="6" t="s">
        <v>13</v>
      </c>
      <c r="H152" s="6" t="str">
        <f>_xlfn.XLOOKUP(Transactions[[#This Row],[Sub-category]],TblDV[Sub-category],TblDV[Category],"")</f>
        <v>Dining Out</v>
      </c>
      <c r="I152" s="6" t="str">
        <f>_xlfn.XLOOKUP(Transactions[[#This Row],[Sub-category]],TblDV[Sub-category],TblDV[Category Type],"")</f>
        <v>Expense</v>
      </c>
    </row>
    <row r="153" spans="1:9">
      <c r="A153" t="s">
        <v>4</v>
      </c>
      <c r="B153" s="5">
        <v>44291</v>
      </c>
      <c r="C153" t="s">
        <v>18</v>
      </c>
      <c r="D153">
        <v>158.2</v>
      </c>
      <c r="F153" s="7">
        <f t="shared" si="2"/>
        <v>-158.2</v>
      </c>
      <c r="G153" s="6" t="s">
        <v>19</v>
      </c>
      <c r="H153" s="6" t="str">
        <f>_xlfn.XLOOKUP(Transactions[[#This Row],[Sub-category]],TblDV[Sub-category],TblDV[Category],"")</f>
        <v>Living Expenses</v>
      </c>
      <c r="I153" s="6" t="str">
        <f>_xlfn.XLOOKUP(Transactions[[#This Row],[Sub-category]],TblDV[Sub-category],TblDV[Category Type],"")</f>
        <v>Expense</v>
      </c>
    </row>
    <row r="154" spans="1:9">
      <c r="A154" t="s">
        <v>9</v>
      </c>
      <c r="B154" s="5">
        <v>44294</v>
      </c>
      <c r="C154" t="s">
        <v>20</v>
      </c>
      <c r="D154">
        <v>53.2</v>
      </c>
      <c r="F154" s="7">
        <f t="shared" si="2"/>
        <v>-53.2</v>
      </c>
      <c r="G154" s="6" t="s">
        <v>21</v>
      </c>
      <c r="H154" s="6" t="str">
        <f>_xlfn.XLOOKUP(Transactions[[#This Row],[Sub-category]],TblDV[Sub-category],TblDV[Category],"")</f>
        <v>Living Expenses</v>
      </c>
      <c r="I154" s="6" t="str">
        <f>_xlfn.XLOOKUP(Transactions[[#This Row],[Sub-category]],TblDV[Sub-category],TblDV[Category Type],"")</f>
        <v>Expense</v>
      </c>
    </row>
    <row r="155" spans="1:9">
      <c r="A155" t="s">
        <v>4</v>
      </c>
      <c r="B155" s="5">
        <v>44294</v>
      </c>
      <c r="C155" t="s">
        <v>12</v>
      </c>
      <c r="D155">
        <v>5</v>
      </c>
      <c r="F155" s="7">
        <f t="shared" si="2"/>
        <v>-5</v>
      </c>
      <c r="G155" s="6" t="s">
        <v>13</v>
      </c>
      <c r="H155" s="6" t="str">
        <f>_xlfn.XLOOKUP(Transactions[[#This Row],[Sub-category]],TblDV[Sub-category],TblDV[Category],"")</f>
        <v>Dining Out</v>
      </c>
      <c r="I155" s="6" t="str">
        <f>_xlfn.XLOOKUP(Transactions[[#This Row],[Sub-category]],TblDV[Sub-category],TblDV[Category Type],"")</f>
        <v>Expense</v>
      </c>
    </row>
    <row r="156" spans="1:9">
      <c r="A156" t="s">
        <v>4</v>
      </c>
      <c r="B156" s="5">
        <v>44295</v>
      </c>
      <c r="C156" t="s">
        <v>12</v>
      </c>
      <c r="D156">
        <v>5</v>
      </c>
      <c r="F156" s="7">
        <f t="shared" si="2"/>
        <v>-5</v>
      </c>
      <c r="G156" s="6" t="s">
        <v>13</v>
      </c>
      <c r="H156" s="6" t="str">
        <f>_xlfn.XLOOKUP(Transactions[[#This Row],[Sub-category]],TblDV[Sub-category],TblDV[Category],"")</f>
        <v>Dining Out</v>
      </c>
      <c r="I156" s="6" t="str">
        <f>_xlfn.XLOOKUP(Transactions[[#This Row],[Sub-category]],TblDV[Sub-category],TblDV[Category Type],"")</f>
        <v>Expense</v>
      </c>
    </row>
    <row r="157" spans="1:9">
      <c r="A157" t="s">
        <v>4</v>
      </c>
      <c r="B157" s="5">
        <v>44296</v>
      </c>
      <c r="C157" t="s">
        <v>22</v>
      </c>
      <c r="D157">
        <v>79.9</v>
      </c>
      <c r="F157" s="7">
        <f t="shared" si="2"/>
        <v>-79.9</v>
      </c>
      <c r="G157" s="6" t="s">
        <v>23</v>
      </c>
      <c r="H157" s="6" t="str">
        <f>_xlfn.XLOOKUP(Transactions[[#This Row],[Sub-category]],TblDV[Sub-category],TblDV[Category],"")</f>
        <v>Transport</v>
      </c>
      <c r="I157" s="6" t="str">
        <f>_xlfn.XLOOKUP(Transactions[[#This Row],[Sub-category]],TblDV[Sub-category],TblDV[Category Type],"")</f>
        <v>Expense</v>
      </c>
    </row>
    <row r="158" spans="1:9">
      <c r="A158" t="s">
        <v>4</v>
      </c>
      <c r="B158" s="5">
        <v>44296</v>
      </c>
      <c r="C158" t="s">
        <v>12</v>
      </c>
      <c r="D158">
        <v>5</v>
      </c>
      <c r="F158" s="7">
        <f t="shared" si="2"/>
        <v>-5</v>
      </c>
      <c r="G158" s="6" t="s">
        <v>13</v>
      </c>
      <c r="H158" s="6" t="str">
        <f>_xlfn.XLOOKUP(Transactions[[#This Row],[Sub-category]],TblDV[Sub-category],TblDV[Category],"")</f>
        <v>Dining Out</v>
      </c>
      <c r="I158" s="6" t="str">
        <f>_xlfn.XLOOKUP(Transactions[[#This Row],[Sub-category]],TblDV[Sub-category],TblDV[Category Type],"")</f>
        <v>Expense</v>
      </c>
    </row>
    <row r="159" spans="1:9">
      <c r="A159" t="s">
        <v>4</v>
      </c>
      <c r="B159" s="5">
        <v>44297</v>
      </c>
      <c r="C159" t="s">
        <v>12</v>
      </c>
      <c r="D159">
        <v>5</v>
      </c>
      <c r="F159" s="7">
        <f t="shared" si="2"/>
        <v>-5</v>
      </c>
      <c r="G159" s="6" t="s">
        <v>13</v>
      </c>
      <c r="H159" s="6" t="str">
        <f>_xlfn.XLOOKUP(Transactions[[#This Row],[Sub-category]],TblDV[Sub-category],TblDV[Category],"")</f>
        <v>Dining Out</v>
      </c>
      <c r="I159" s="6" t="str">
        <f>_xlfn.XLOOKUP(Transactions[[#This Row],[Sub-category]],TblDV[Sub-category],TblDV[Category Type],"")</f>
        <v>Expense</v>
      </c>
    </row>
    <row r="160" spans="1:9">
      <c r="A160" t="s">
        <v>4</v>
      </c>
      <c r="B160" s="5">
        <v>44298</v>
      </c>
      <c r="C160" t="s">
        <v>18</v>
      </c>
      <c r="D160">
        <v>98</v>
      </c>
      <c r="F160" s="7">
        <f t="shared" si="2"/>
        <v>-98</v>
      </c>
      <c r="G160" s="6" t="s">
        <v>19</v>
      </c>
      <c r="H160" s="6" t="str">
        <f>_xlfn.XLOOKUP(Transactions[[#This Row],[Sub-category]],TblDV[Sub-category],TblDV[Category],"")</f>
        <v>Living Expenses</v>
      </c>
      <c r="I160" s="6" t="str">
        <f>_xlfn.XLOOKUP(Transactions[[#This Row],[Sub-category]],TblDV[Sub-category],TblDV[Category Type],"")</f>
        <v>Expense</v>
      </c>
    </row>
    <row r="161" spans="1:9">
      <c r="A161" t="s">
        <v>4</v>
      </c>
      <c r="B161" s="5">
        <v>44298</v>
      </c>
      <c r="C161" t="s">
        <v>12</v>
      </c>
      <c r="D161">
        <v>5</v>
      </c>
      <c r="F161" s="7">
        <f t="shared" si="2"/>
        <v>-5</v>
      </c>
      <c r="G161" s="6" t="s">
        <v>13</v>
      </c>
      <c r="H161" s="6" t="str">
        <f>_xlfn.XLOOKUP(Transactions[[#This Row],[Sub-category]],TblDV[Sub-category],TblDV[Category],"")</f>
        <v>Dining Out</v>
      </c>
      <c r="I161" s="6" t="str">
        <f>_xlfn.XLOOKUP(Transactions[[#This Row],[Sub-category]],TblDV[Sub-category],TblDV[Category Type],"")</f>
        <v>Expense</v>
      </c>
    </row>
    <row r="162" spans="1:9">
      <c r="A162" t="s">
        <v>4</v>
      </c>
      <c r="B162" s="5">
        <v>44299</v>
      </c>
      <c r="C162" t="s">
        <v>12</v>
      </c>
      <c r="D162">
        <v>5</v>
      </c>
      <c r="F162" s="7">
        <f t="shared" si="2"/>
        <v>-5</v>
      </c>
      <c r="G162" s="6" t="s">
        <v>13</v>
      </c>
      <c r="H162" s="6" t="str">
        <f>_xlfn.XLOOKUP(Transactions[[#This Row],[Sub-category]],TblDV[Sub-category],TblDV[Category],"")</f>
        <v>Dining Out</v>
      </c>
      <c r="I162" s="6" t="str">
        <f>_xlfn.XLOOKUP(Transactions[[#This Row],[Sub-category]],TblDV[Sub-category],TblDV[Category Type],"")</f>
        <v>Expense</v>
      </c>
    </row>
    <row r="163" spans="1:9">
      <c r="A163" t="s">
        <v>4</v>
      </c>
      <c r="B163" s="5">
        <v>44299</v>
      </c>
      <c r="C163" t="s">
        <v>24</v>
      </c>
      <c r="D163">
        <v>42.8</v>
      </c>
      <c r="F163" s="7">
        <f t="shared" si="2"/>
        <v>-42.8</v>
      </c>
      <c r="G163" s="6" t="s">
        <v>25</v>
      </c>
      <c r="H163" s="6" t="str">
        <f>_xlfn.XLOOKUP(Transactions[[#This Row],[Sub-category]],TblDV[Sub-category],TblDV[Category],"")</f>
        <v>Discretionary</v>
      </c>
      <c r="I163" s="6" t="str">
        <f>_xlfn.XLOOKUP(Transactions[[#This Row],[Sub-category]],TblDV[Sub-category],TblDV[Category Type],"")</f>
        <v>Expense</v>
      </c>
    </row>
    <row r="164" spans="1:9">
      <c r="A164" t="s">
        <v>4</v>
      </c>
      <c r="B164" s="5">
        <v>44299</v>
      </c>
      <c r="C164" t="s">
        <v>26</v>
      </c>
      <c r="D164">
        <v>100.9</v>
      </c>
      <c r="F164" s="7">
        <f t="shared" si="2"/>
        <v>-100.9</v>
      </c>
      <c r="G164" s="6" t="s">
        <v>27</v>
      </c>
      <c r="H164" s="6" t="str">
        <f>_xlfn.XLOOKUP(Transactions[[#This Row],[Sub-category]],TblDV[Sub-category],TblDV[Category],"")</f>
        <v>Discretionary</v>
      </c>
      <c r="I164" s="6" t="str">
        <f>_xlfn.XLOOKUP(Transactions[[#This Row],[Sub-category]],TblDV[Sub-category],TblDV[Category Type],"")</f>
        <v>Expense</v>
      </c>
    </row>
    <row r="165" spans="1:9">
      <c r="A165" t="s">
        <v>4</v>
      </c>
      <c r="B165" s="5">
        <v>44299</v>
      </c>
      <c r="C165" t="s">
        <v>28</v>
      </c>
      <c r="D165">
        <v>54.9</v>
      </c>
      <c r="F165" s="7">
        <f t="shared" si="2"/>
        <v>-54.9</v>
      </c>
      <c r="G165" s="6" t="s">
        <v>29</v>
      </c>
      <c r="H165" s="6" t="str">
        <f>_xlfn.XLOOKUP(Transactions[[#This Row],[Sub-category]],TblDV[Sub-category],TblDV[Category],"")</f>
        <v>Dining Out</v>
      </c>
      <c r="I165" s="6" t="str">
        <f>_xlfn.XLOOKUP(Transactions[[#This Row],[Sub-category]],TblDV[Sub-category],TblDV[Category Type],"")</f>
        <v>Expense</v>
      </c>
    </row>
    <row r="166" spans="1:9">
      <c r="A166" t="s">
        <v>4</v>
      </c>
      <c r="B166" s="5">
        <v>44300</v>
      </c>
      <c r="C166" t="s">
        <v>30</v>
      </c>
      <c r="D166">
        <v>31</v>
      </c>
      <c r="F166" s="7">
        <f t="shared" si="2"/>
        <v>-31</v>
      </c>
      <c r="G166" s="6" t="s">
        <v>31</v>
      </c>
      <c r="H166" s="6" t="str">
        <f>_xlfn.XLOOKUP(Transactions[[#This Row],[Sub-category]],TblDV[Sub-category],TblDV[Category],"")</f>
        <v>Transport</v>
      </c>
      <c r="I166" s="6" t="str">
        <f>_xlfn.XLOOKUP(Transactions[[#This Row],[Sub-category]],TblDV[Sub-category],TblDV[Category Type],"")</f>
        <v>Expense</v>
      </c>
    </row>
    <row r="167" spans="1:9">
      <c r="A167" t="s">
        <v>9</v>
      </c>
      <c r="B167" s="5">
        <v>44301</v>
      </c>
      <c r="C167" t="s">
        <v>32</v>
      </c>
      <c r="D167">
        <v>30</v>
      </c>
      <c r="F167" s="7">
        <f t="shared" si="2"/>
        <v>-30</v>
      </c>
      <c r="G167" s="6" t="s">
        <v>33</v>
      </c>
      <c r="H167" s="6" t="str">
        <f>_xlfn.XLOOKUP(Transactions[[#This Row],[Sub-category]],TblDV[Sub-category],TblDV[Category],"")</f>
        <v>Discretionary</v>
      </c>
      <c r="I167" s="6" t="str">
        <f>_xlfn.XLOOKUP(Transactions[[#This Row],[Sub-category]],TblDV[Sub-category],TblDV[Category Type],"")</f>
        <v>Expense</v>
      </c>
    </row>
    <row r="168" spans="1:9">
      <c r="A168" t="s">
        <v>4</v>
      </c>
      <c r="B168" s="5">
        <v>44301</v>
      </c>
      <c r="C168" t="s">
        <v>12</v>
      </c>
      <c r="D168">
        <v>5</v>
      </c>
      <c r="F168" s="7">
        <f t="shared" si="2"/>
        <v>-5</v>
      </c>
      <c r="G168" s="6" t="s">
        <v>13</v>
      </c>
      <c r="H168" s="6" t="str">
        <f>_xlfn.XLOOKUP(Transactions[[#This Row],[Sub-category]],TblDV[Sub-category],TblDV[Category],"")</f>
        <v>Dining Out</v>
      </c>
      <c r="I168" s="6" t="str">
        <f>_xlfn.XLOOKUP(Transactions[[#This Row],[Sub-category]],TblDV[Sub-category],TblDV[Category Type],"")</f>
        <v>Expense</v>
      </c>
    </row>
    <row r="169" spans="1:9">
      <c r="A169" t="s">
        <v>4</v>
      </c>
      <c r="B169" s="5">
        <v>44302</v>
      </c>
      <c r="C169" t="s">
        <v>12</v>
      </c>
      <c r="D169">
        <v>5</v>
      </c>
      <c r="F169" s="7">
        <f t="shared" si="2"/>
        <v>-5</v>
      </c>
      <c r="G169" s="6" t="s">
        <v>13</v>
      </c>
      <c r="H169" s="6" t="str">
        <f>_xlfn.XLOOKUP(Transactions[[#This Row],[Sub-category]],TblDV[Sub-category],TblDV[Category],"")</f>
        <v>Dining Out</v>
      </c>
      <c r="I169" s="6" t="str">
        <f>_xlfn.XLOOKUP(Transactions[[#This Row],[Sub-category]],TblDV[Sub-category],TblDV[Category Type],"")</f>
        <v>Expense</v>
      </c>
    </row>
    <row r="170" spans="1:9">
      <c r="A170" t="s">
        <v>9</v>
      </c>
      <c r="B170" s="5">
        <v>44302</v>
      </c>
      <c r="C170" t="s">
        <v>36</v>
      </c>
      <c r="D170">
        <v>40</v>
      </c>
      <c r="F170" s="7">
        <f t="shared" si="2"/>
        <v>-40</v>
      </c>
      <c r="G170" s="6" t="s">
        <v>37</v>
      </c>
      <c r="H170" s="6" t="str">
        <f>_xlfn.XLOOKUP(Transactions[[#This Row],[Sub-category]],TblDV[Sub-category],TblDV[Category],"")</f>
        <v>Living Expenses</v>
      </c>
      <c r="I170" s="6" t="str">
        <f>_xlfn.XLOOKUP(Transactions[[#This Row],[Sub-category]],TblDV[Sub-category],TblDV[Category Type],"")</f>
        <v>Expense</v>
      </c>
    </row>
    <row r="171" spans="1:9">
      <c r="A171" t="s">
        <v>4</v>
      </c>
      <c r="B171" s="5">
        <v>44303</v>
      </c>
      <c r="C171" t="s">
        <v>38</v>
      </c>
      <c r="D171">
        <v>47.9</v>
      </c>
      <c r="F171" s="7">
        <f t="shared" si="2"/>
        <v>-47.9</v>
      </c>
      <c r="G171" s="6" t="s">
        <v>39</v>
      </c>
      <c r="H171" s="6" t="str">
        <f>_xlfn.XLOOKUP(Transactions[[#This Row],[Sub-category]],TblDV[Sub-category],TblDV[Category],"")</f>
        <v>Discretionary</v>
      </c>
      <c r="I171" s="6" t="str">
        <f>_xlfn.XLOOKUP(Transactions[[#This Row],[Sub-category]],TblDV[Sub-category],TblDV[Category Type],"")</f>
        <v>Expense</v>
      </c>
    </row>
    <row r="172" spans="1:9">
      <c r="A172" t="s">
        <v>4</v>
      </c>
      <c r="B172" s="5">
        <v>44303</v>
      </c>
      <c r="C172" t="s">
        <v>40</v>
      </c>
      <c r="D172">
        <v>35</v>
      </c>
      <c r="F172" s="7">
        <f t="shared" si="2"/>
        <v>-35</v>
      </c>
      <c r="G172" s="6" t="s">
        <v>25</v>
      </c>
      <c r="H172" s="6" t="str">
        <f>_xlfn.XLOOKUP(Transactions[[#This Row],[Sub-category]],TblDV[Sub-category],TblDV[Category],"")</f>
        <v>Discretionary</v>
      </c>
      <c r="I172" s="6" t="str">
        <f>_xlfn.XLOOKUP(Transactions[[#This Row],[Sub-category]],TblDV[Sub-category],TblDV[Category Type],"")</f>
        <v>Expense</v>
      </c>
    </row>
    <row r="173" spans="1:9">
      <c r="A173" t="s">
        <v>4</v>
      </c>
      <c r="B173" s="5">
        <v>44303</v>
      </c>
      <c r="C173" t="s">
        <v>12</v>
      </c>
      <c r="D173">
        <v>5</v>
      </c>
      <c r="F173" s="7">
        <f t="shared" si="2"/>
        <v>-5</v>
      </c>
      <c r="G173" s="6" t="s">
        <v>13</v>
      </c>
      <c r="H173" s="6" t="str">
        <f>_xlfn.XLOOKUP(Transactions[[#This Row],[Sub-category]],TblDV[Sub-category],TblDV[Category],"")</f>
        <v>Dining Out</v>
      </c>
      <c r="I173" s="6" t="str">
        <f>_xlfn.XLOOKUP(Transactions[[#This Row],[Sub-category]],TblDV[Sub-category],TblDV[Category Type],"")</f>
        <v>Expense</v>
      </c>
    </row>
    <row r="174" spans="1:9">
      <c r="A174" t="s">
        <v>4</v>
      </c>
      <c r="B174" s="5">
        <v>44304</v>
      </c>
      <c r="C174" t="s">
        <v>12</v>
      </c>
      <c r="D174">
        <v>5</v>
      </c>
      <c r="F174" s="7">
        <f t="shared" si="2"/>
        <v>-5</v>
      </c>
      <c r="G174" s="6" t="s">
        <v>13</v>
      </c>
      <c r="H174" s="6" t="str">
        <f>_xlfn.XLOOKUP(Transactions[[#This Row],[Sub-category]],TblDV[Sub-category],TblDV[Category],"")</f>
        <v>Dining Out</v>
      </c>
      <c r="I174" s="6" t="str">
        <f>_xlfn.XLOOKUP(Transactions[[#This Row],[Sub-category]],TblDV[Sub-category],TblDV[Category Type],"")</f>
        <v>Expense</v>
      </c>
    </row>
    <row r="175" spans="1:9">
      <c r="A175" t="s">
        <v>4</v>
      </c>
      <c r="B175" s="5">
        <v>44305</v>
      </c>
      <c r="C175" t="s">
        <v>12</v>
      </c>
      <c r="D175">
        <v>5</v>
      </c>
      <c r="F175" s="7">
        <f t="shared" si="2"/>
        <v>-5</v>
      </c>
      <c r="G175" s="6" t="s">
        <v>13</v>
      </c>
      <c r="H175" s="6" t="str">
        <f>_xlfn.XLOOKUP(Transactions[[#This Row],[Sub-category]],TblDV[Sub-category],TblDV[Category],"")</f>
        <v>Dining Out</v>
      </c>
      <c r="I175" s="6" t="str">
        <f>_xlfn.XLOOKUP(Transactions[[#This Row],[Sub-category]],TblDV[Sub-category],TblDV[Category Type],"")</f>
        <v>Expense</v>
      </c>
    </row>
    <row r="176" spans="1:9">
      <c r="A176" t="s">
        <v>4</v>
      </c>
      <c r="B176" s="5">
        <v>44305</v>
      </c>
      <c r="C176" t="s">
        <v>18</v>
      </c>
      <c r="D176">
        <v>173</v>
      </c>
      <c r="F176" s="7">
        <f t="shared" si="2"/>
        <v>-173</v>
      </c>
      <c r="G176" s="6" t="s">
        <v>19</v>
      </c>
      <c r="H176" s="6" t="str">
        <f>_xlfn.XLOOKUP(Transactions[[#This Row],[Sub-category]],TblDV[Sub-category],TblDV[Category],"")</f>
        <v>Living Expenses</v>
      </c>
      <c r="I176" s="6" t="str">
        <f>_xlfn.XLOOKUP(Transactions[[#This Row],[Sub-category]],TblDV[Sub-category],TblDV[Category Type],"")</f>
        <v>Expense</v>
      </c>
    </row>
    <row r="177" spans="1:9">
      <c r="A177" t="s">
        <v>4</v>
      </c>
      <c r="B177" s="5">
        <v>44306</v>
      </c>
      <c r="C177" t="s">
        <v>41</v>
      </c>
      <c r="D177">
        <v>40.1</v>
      </c>
      <c r="F177" s="7">
        <f t="shared" si="2"/>
        <v>-40.1</v>
      </c>
      <c r="G177" s="6" t="s">
        <v>29</v>
      </c>
      <c r="H177" s="6" t="str">
        <f>_xlfn.XLOOKUP(Transactions[[#This Row],[Sub-category]],TblDV[Sub-category],TblDV[Category],"")</f>
        <v>Dining Out</v>
      </c>
      <c r="I177" s="6" t="str">
        <f>_xlfn.XLOOKUP(Transactions[[#This Row],[Sub-category]],TblDV[Sub-category],TblDV[Category Type],"")</f>
        <v>Expense</v>
      </c>
    </row>
    <row r="178" spans="1:9">
      <c r="A178" t="s">
        <v>4</v>
      </c>
      <c r="B178" s="5">
        <v>44307</v>
      </c>
      <c r="C178" t="s">
        <v>42</v>
      </c>
      <c r="D178">
        <v>15.1</v>
      </c>
      <c r="F178" s="7">
        <f t="shared" si="2"/>
        <v>-15.1</v>
      </c>
      <c r="G178" s="6" t="s">
        <v>29</v>
      </c>
      <c r="H178" s="6" t="str">
        <f>_xlfn.XLOOKUP(Transactions[[#This Row],[Sub-category]],TblDV[Sub-category],TblDV[Category],"")</f>
        <v>Dining Out</v>
      </c>
      <c r="I178" s="6" t="str">
        <f>_xlfn.XLOOKUP(Transactions[[#This Row],[Sub-category]],TblDV[Sub-category],TblDV[Category Type],"")</f>
        <v>Expense</v>
      </c>
    </row>
    <row r="179" spans="1:9">
      <c r="A179" t="s">
        <v>9</v>
      </c>
      <c r="B179" s="5">
        <v>44308</v>
      </c>
      <c r="C179" t="s">
        <v>43</v>
      </c>
      <c r="D179">
        <v>55</v>
      </c>
      <c r="F179" s="7">
        <f t="shared" si="2"/>
        <v>-55</v>
      </c>
      <c r="G179" s="6" t="s">
        <v>44</v>
      </c>
      <c r="H179" s="6" t="str">
        <f>_xlfn.XLOOKUP(Transactions[[#This Row],[Sub-category]],TblDV[Sub-category],TblDV[Category],"")</f>
        <v>Charity</v>
      </c>
      <c r="I179" s="6" t="str">
        <f>_xlfn.XLOOKUP(Transactions[[#This Row],[Sub-category]],TblDV[Sub-category],TblDV[Category Type],"")</f>
        <v>Expense</v>
      </c>
    </row>
    <row r="180" spans="1:9">
      <c r="A180" t="s">
        <v>4</v>
      </c>
      <c r="B180" s="5">
        <v>44308</v>
      </c>
      <c r="C180" t="s">
        <v>22</v>
      </c>
      <c r="D180">
        <v>66</v>
      </c>
      <c r="F180" s="7">
        <f t="shared" si="2"/>
        <v>-66</v>
      </c>
      <c r="G180" s="6" t="s">
        <v>23</v>
      </c>
      <c r="H180" s="6" t="str">
        <f>_xlfn.XLOOKUP(Transactions[[#This Row],[Sub-category]],TblDV[Sub-category],TblDV[Category],"")</f>
        <v>Transport</v>
      </c>
      <c r="I180" s="6" t="str">
        <f>_xlfn.XLOOKUP(Transactions[[#This Row],[Sub-category]],TblDV[Sub-category],TblDV[Category Type],"")</f>
        <v>Expense</v>
      </c>
    </row>
    <row r="181" spans="1:9">
      <c r="A181" t="s">
        <v>4</v>
      </c>
      <c r="B181" s="5">
        <v>44308</v>
      </c>
      <c r="C181" t="s">
        <v>12</v>
      </c>
      <c r="D181">
        <v>5</v>
      </c>
      <c r="F181" s="7">
        <f t="shared" si="2"/>
        <v>-5</v>
      </c>
      <c r="G181" s="6" t="s">
        <v>13</v>
      </c>
      <c r="H181" s="6" t="str">
        <f>_xlfn.XLOOKUP(Transactions[[#This Row],[Sub-category]],TblDV[Sub-category],TblDV[Category],"")</f>
        <v>Dining Out</v>
      </c>
      <c r="I181" s="6" t="str">
        <f>_xlfn.XLOOKUP(Transactions[[#This Row],[Sub-category]],TblDV[Sub-category],TblDV[Category Type],"")</f>
        <v>Expense</v>
      </c>
    </row>
    <row r="182" spans="1:9">
      <c r="A182" t="s">
        <v>4</v>
      </c>
      <c r="B182" s="5">
        <v>44309</v>
      </c>
      <c r="C182" t="s">
        <v>12</v>
      </c>
      <c r="D182">
        <v>5</v>
      </c>
      <c r="F182" s="7">
        <f t="shared" si="2"/>
        <v>-5</v>
      </c>
      <c r="G182" s="6" t="s">
        <v>13</v>
      </c>
      <c r="H182" s="6" t="str">
        <f>_xlfn.XLOOKUP(Transactions[[#This Row],[Sub-category]],TblDV[Sub-category],TblDV[Category],"")</f>
        <v>Dining Out</v>
      </c>
      <c r="I182" s="6" t="str">
        <f>_xlfn.XLOOKUP(Transactions[[#This Row],[Sub-category]],TblDV[Sub-category],TblDV[Category Type],"")</f>
        <v>Expense</v>
      </c>
    </row>
    <row r="183" spans="1:9">
      <c r="A183" t="s">
        <v>4</v>
      </c>
      <c r="B183" s="5">
        <v>44310</v>
      </c>
      <c r="C183" t="s">
        <v>12</v>
      </c>
      <c r="D183">
        <v>5</v>
      </c>
      <c r="F183" s="7">
        <f t="shared" si="2"/>
        <v>-5</v>
      </c>
      <c r="G183" s="6" t="s">
        <v>13</v>
      </c>
      <c r="H183" s="6" t="str">
        <f>_xlfn.XLOOKUP(Transactions[[#This Row],[Sub-category]],TblDV[Sub-category],TblDV[Category],"")</f>
        <v>Dining Out</v>
      </c>
      <c r="I183" s="6" t="str">
        <f>_xlfn.XLOOKUP(Transactions[[#This Row],[Sub-category]],TblDV[Sub-category],TblDV[Category Type],"")</f>
        <v>Expense</v>
      </c>
    </row>
    <row r="184" spans="1:9">
      <c r="A184" t="s">
        <v>4</v>
      </c>
      <c r="B184" s="5">
        <v>44311</v>
      </c>
      <c r="C184" t="s">
        <v>12</v>
      </c>
      <c r="D184">
        <v>5</v>
      </c>
      <c r="F184" s="7">
        <f t="shared" si="2"/>
        <v>-5</v>
      </c>
      <c r="G184" s="6" t="s">
        <v>13</v>
      </c>
      <c r="H184" s="6" t="str">
        <f>_xlfn.XLOOKUP(Transactions[[#This Row],[Sub-category]],TblDV[Sub-category],TblDV[Category],"")</f>
        <v>Dining Out</v>
      </c>
      <c r="I184" s="6" t="str">
        <f>_xlfn.XLOOKUP(Transactions[[#This Row],[Sub-category]],TblDV[Sub-category],TblDV[Category Type],"")</f>
        <v>Expense</v>
      </c>
    </row>
    <row r="185" spans="1:9">
      <c r="A185" t="s">
        <v>4</v>
      </c>
      <c r="B185" s="5">
        <v>44312</v>
      </c>
      <c r="C185" t="s">
        <v>12</v>
      </c>
      <c r="D185">
        <v>5</v>
      </c>
      <c r="F185" s="7">
        <f t="shared" si="2"/>
        <v>-5</v>
      </c>
      <c r="G185" s="6" t="s">
        <v>13</v>
      </c>
      <c r="H185" s="6" t="str">
        <f>_xlfn.XLOOKUP(Transactions[[#This Row],[Sub-category]],TblDV[Sub-category],TblDV[Category],"")</f>
        <v>Dining Out</v>
      </c>
      <c r="I185" s="6" t="str">
        <f>_xlfn.XLOOKUP(Transactions[[#This Row],[Sub-category]],TblDV[Sub-category],TblDV[Category Type],"")</f>
        <v>Expense</v>
      </c>
    </row>
    <row r="186" spans="1:9">
      <c r="A186" t="s">
        <v>4</v>
      </c>
      <c r="B186" s="5">
        <v>44312</v>
      </c>
      <c r="C186" t="s">
        <v>18</v>
      </c>
      <c r="D186">
        <v>164.9</v>
      </c>
      <c r="F186" s="7">
        <f t="shared" si="2"/>
        <v>-164.9</v>
      </c>
      <c r="G186" s="6" t="s">
        <v>19</v>
      </c>
      <c r="H186" s="6" t="str">
        <f>_xlfn.XLOOKUP(Transactions[[#This Row],[Sub-category]],TblDV[Sub-category],TblDV[Category],"")</f>
        <v>Living Expenses</v>
      </c>
      <c r="I186" s="6" t="str">
        <f>_xlfn.XLOOKUP(Transactions[[#This Row],[Sub-category]],TblDV[Sub-category],TblDV[Category Type],"")</f>
        <v>Expense</v>
      </c>
    </row>
    <row r="187" spans="1:9">
      <c r="A187" t="s">
        <v>4</v>
      </c>
      <c r="B187" s="5">
        <v>44313</v>
      </c>
      <c r="C187" t="s">
        <v>45</v>
      </c>
      <c r="D187">
        <v>127.9</v>
      </c>
      <c r="F187" s="7">
        <f t="shared" si="2"/>
        <v>-127.9</v>
      </c>
      <c r="G187" s="6" t="s">
        <v>27</v>
      </c>
      <c r="H187" s="6" t="str">
        <f>_xlfn.XLOOKUP(Transactions[[#This Row],[Sub-category]],TblDV[Sub-category],TblDV[Category],"")</f>
        <v>Discretionary</v>
      </c>
      <c r="I187" s="6" t="str">
        <f>_xlfn.XLOOKUP(Transactions[[#This Row],[Sub-category]],TblDV[Sub-category],TblDV[Category Type],"")</f>
        <v>Expense</v>
      </c>
    </row>
    <row r="188" spans="1:9">
      <c r="A188" t="s">
        <v>4</v>
      </c>
      <c r="B188" s="5">
        <v>44313</v>
      </c>
      <c r="C188" t="s">
        <v>52</v>
      </c>
      <c r="D188">
        <v>300</v>
      </c>
      <c r="F188" s="7">
        <f t="shared" si="2"/>
        <v>-300</v>
      </c>
      <c r="G188" s="6" t="s">
        <v>25</v>
      </c>
      <c r="H188" s="6" t="str">
        <f>_xlfn.XLOOKUP(Transactions[[#This Row],[Sub-category]],TblDV[Sub-category],TblDV[Category],"")</f>
        <v>Discretionary</v>
      </c>
      <c r="I188" s="6" t="str">
        <f>_xlfn.XLOOKUP(Transactions[[#This Row],[Sub-category]],TblDV[Sub-category],TblDV[Category Type],"")</f>
        <v>Expense</v>
      </c>
    </row>
    <row r="189" spans="1:9">
      <c r="A189" t="s">
        <v>4</v>
      </c>
      <c r="B189" s="5">
        <v>44314</v>
      </c>
      <c r="C189" t="s">
        <v>26</v>
      </c>
      <c r="D189">
        <v>148.1</v>
      </c>
      <c r="F189" s="7">
        <f t="shared" si="2"/>
        <v>-148.1</v>
      </c>
      <c r="G189" s="6" t="s">
        <v>27</v>
      </c>
      <c r="H189" s="6" t="str">
        <f>_xlfn.XLOOKUP(Transactions[[#This Row],[Sub-category]],TblDV[Sub-category],TblDV[Category],"")</f>
        <v>Discretionary</v>
      </c>
      <c r="I189" s="6" t="str">
        <f>_xlfn.XLOOKUP(Transactions[[#This Row],[Sub-category]],TblDV[Sub-category],TblDV[Category Type],"")</f>
        <v>Expense</v>
      </c>
    </row>
    <row r="190" spans="1:9">
      <c r="A190" t="s">
        <v>4</v>
      </c>
      <c r="B190" s="5">
        <v>44314</v>
      </c>
      <c r="C190" t="s">
        <v>30</v>
      </c>
      <c r="D190">
        <v>26.1</v>
      </c>
      <c r="F190" s="7">
        <f t="shared" si="2"/>
        <v>-26.1</v>
      </c>
      <c r="G190" s="6" t="s">
        <v>31</v>
      </c>
      <c r="H190" s="6" t="str">
        <f>_xlfn.XLOOKUP(Transactions[[#This Row],[Sub-category]],TblDV[Sub-category],TblDV[Category],"")</f>
        <v>Transport</v>
      </c>
      <c r="I190" s="6" t="str">
        <f>_xlfn.XLOOKUP(Transactions[[#This Row],[Sub-category]],TblDV[Sub-category],TblDV[Category Type],"")</f>
        <v>Expense</v>
      </c>
    </row>
    <row r="191" spans="1:9">
      <c r="A191" t="s">
        <v>4</v>
      </c>
      <c r="B191" s="5">
        <v>44315</v>
      </c>
      <c r="C191" t="s">
        <v>51</v>
      </c>
      <c r="D191">
        <v>15</v>
      </c>
      <c r="F191" s="7">
        <f t="shared" si="2"/>
        <v>-15</v>
      </c>
      <c r="G191" s="6" t="s">
        <v>29</v>
      </c>
      <c r="H191" s="6" t="str">
        <f>_xlfn.XLOOKUP(Transactions[[#This Row],[Sub-category]],TblDV[Sub-category],TblDV[Category],"")</f>
        <v>Dining Out</v>
      </c>
      <c r="I191" s="6" t="str">
        <f>_xlfn.XLOOKUP(Transactions[[#This Row],[Sub-category]],TblDV[Sub-category],TblDV[Category Type],"")</f>
        <v>Expense</v>
      </c>
    </row>
    <row r="192" spans="1:9">
      <c r="A192" t="s">
        <v>4</v>
      </c>
      <c r="B192" s="5">
        <v>44315</v>
      </c>
      <c r="C192" t="s">
        <v>12</v>
      </c>
      <c r="D192">
        <v>5</v>
      </c>
      <c r="F192" s="7">
        <f t="shared" si="2"/>
        <v>-5</v>
      </c>
      <c r="G192" s="6" t="s">
        <v>13</v>
      </c>
      <c r="H192" s="6" t="str">
        <f>_xlfn.XLOOKUP(Transactions[[#This Row],[Sub-category]],TblDV[Sub-category],TblDV[Category],"")</f>
        <v>Dining Out</v>
      </c>
      <c r="I192" s="6" t="str">
        <f>_xlfn.XLOOKUP(Transactions[[#This Row],[Sub-category]],TblDV[Sub-category],TblDV[Category Type],"")</f>
        <v>Expense</v>
      </c>
    </row>
    <row r="193" spans="1:9">
      <c r="A193" t="s">
        <v>4</v>
      </c>
      <c r="B193" s="5">
        <v>44316</v>
      </c>
      <c r="C193" t="s">
        <v>12</v>
      </c>
      <c r="D193">
        <v>5</v>
      </c>
      <c r="F193" s="7">
        <f t="shared" si="2"/>
        <v>-5</v>
      </c>
      <c r="G193" s="6" t="s">
        <v>13</v>
      </c>
      <c r="H193" s="6" t="str">
        <f>_xlfn.XLOOKUP(Transactions[[#This Row],[Sub-category]],TblDV[Sub-category],TblDV[Category],"")</f>
        <v>Dining Out</v>
      </c>
      <c r="I193" s="6" t="str">
        <f>_xlfn.XLOOKUP(Transactions[[#This Row],[Sub-category]],TblDV[Sub-category],TblDV[Category Type],"")</f>
        <v>Expense</v>
      </c>
    </row>
    <row r="194" spans="1:9">
      <c r="A194" t="s">
        <v>4</v>
      </c>
      <c r="B194" s="5">
        <v>44318</v>
      </c>
      <c r="C194" t="s">
        <v>12</v>
      </c>
      <c r="D194">
        <v>5</v>
      </c>
      <c r="F194" s="7">
        <f t="shared" ref="F194:F257" si="3">E194-D194</f>
        <v>-5</v>
      </c>
      <c r="G194" s="6" t="s">
        <v>13</v>
      </c>
      <c r="H194" s="6" t="str">
        <f>_xlfn.XLOOKUP(Transactions[[#This Row],[Sub-category]],TblDV[Sub-category],TblDV[Category],"")</f>
        <v>Dining Out</v>
      </c>
      <c r="I194" s="6" t="str">
        <f>_xlfn.XLOOKUP(Transactions[[#This Row],[Sub-category]],TblDV[Sub-category],TblDV[Category Type],"")</f>
        <v>Expense</v>
      </c>
    </row>
    <row r="195" spans="1:9">
      <c r="A195" t="s">
        <v>9</v>
      </c>
      <c r="B195" s="5">
        <v>44319</v>
      </c>
      <c r="C195" t="s">
        <v>10</v>
      </c>
      <c r="E195">
        <v>4000</v>
      </c>
      <c r="F195" s="7">
        <f t="shared" si="3"/>
        <v>4000</v>
      </c>
      <c r="G195" s="6" t="s">
        <v>11</v>
      </c>
      <c r="H195" s="6" t="str">
        <f>_xlfn.XLOOKUP(Transactions[[#This Row],[Sub-category]],TblDV[Sub-category],TblDV[Category],"")</f>
        <v>Salary</v>
      </c>
      <c r="I195" s="6" t="str">
        <f>_xlfn.XLOOKUP(Transactions[[#This Row],[Sub-category]],TblDV[Sub-category],TblDV[Category Type],"")</f>
        <v>Income</v>
      </c>
    </row>
    <row r="196" spans="1:9">
      <c r="A196" t="s">
        <v>9</v>
      </c>
      <c r="B196" s="5">
        <v>44319</v>
      </c>
      <c r="C196" t="s">
        <v>14</v>
      </c>
      <c r="D196">
        <v>900</v>
      </c>
      <c r="F196" s="7">
        <f t="shared" si="3"/>
        <v>-900</v>
      </c>
      <c r="G196" s="6" t="s">
        <v>15</v>
      </c>
      <c r="H196" s="6" t="str">
        <f>_xlfn.XLOOKUP(Transactions[[#This Row],[Sub-category]],TblDV[Sub-category],TblDV[Category],"")</f>
        <v>Living Expenses</v>
      </c>
      <c r="I196" s="6" t="str">
        <f>_xlfn.XLOOKUP(Transactions[[#This Row],[Sub-category]],TblDV[Sub-category],TblDV[Category Type],"")</f>
        <v>Expense</v>
      </c>
    </row>
    <row r="197" spans="1:9">
      <c r="A197" t="s">
        <v>9</v>
      </c>
      <c r="B197" s="5">
        <v>44319</v>
      </c>
      <c r="C197" t="s">
        <v>16</v>
      </c>
      <c r="D197">
        <v>150</v>
      </c>
      <c r="F197" s="7">
        <f t="shared" si="3"/>
        <v>-150</v>
      </c>
      <c r="G197" s="6" t="s">
        <v>17</v>
      </c>
      <c r="H197" s="6" t="str">
        <f>_xlfn.XLOOKUP(Transactions[[#This Row],[Sub-category]],TblDV[Sub-category],TblDV[Category],"")</f>
        <v>Transport</v>
      </c>
      <c r="I197" s="6" t="str">
        <f>_xlfn.XLOOKUP(Transactions[[#This Row],[Sub-category]],TblDV[Sub-category],TblDV[Category Type],"")</f>
        <v>Expense</v>
      </c>
    </row>
    <row r="198" spans="1:9">
      <c r="A198" t="s">
        <v>4</v>
      </c>
      <c r="B198" s="5">
        <v>44319</v>
      </c>
      <c r="C198" t="s">
        <v>12</v>
      </c>
      <c r="D198">
        <v>5</v>
      </c>
      <c r="F198" s="7">
        <f t="shared" si="3"/>
        <v>-5</v>
      </c>
      <c r="G198" s="6" t="s">
        <v>13</v>
      </c>
      <c r="H198" s="6" t="str">
        <f>_xlfn.XLOOKUP(Transactions[[#This Row],[Sub-category]],TblDV[Sub-category],TblDV[Category],"")</f>
        <v>Dining Out</v>
      </c>
      <c r="I198" s="6" t="str">
        <f>_xlfn.XLOOKUP(Transactions[[#This Row],[Sub-category]],TblDV[Sub-category],TblDV[Category Type],"")</f>
        <v>Expense</v>
      </c>
    </row>
    <row r="199" spans="1:9">
      <c r="A199" t="s">
        <v>4</v>
      </c>
      <c r="B199" s="5">
        <v>44320</v>
      </c>
      <c r="C199" t="s">
        <v>12</v>
      </c>
      <c r="D199">
        <v>5</v>
      </c>
      <c r="F199" s="7">
        <f t="shared" si="3"/>
        <v>-5</v>
      </c>
      <c r="G199" s="6" t="s">
        <v>13</v>
      </c>
      <c r="H199" s="6" t="str">
        <f>_xlfn.XLOOKUP(Transactions[[#This Row],[Sub-category]],TblDV[Sub-category],TblDV[Category],"")</f>
        <v>Dining Out</v>
      </c>
      <c r="I199" s="6" t="str">
        <f>_xlfn.XLOOKUP(Transactions[[#This Row],[Sub-category]],TblDV[Sub-category],TblDV[Category Type],"")</f>
        <v>Expense</v>
      </c>
    </row>
    <row r="200" spans="1:9">
      <c r="A200" t="s">
        <v>4</v>
      </c>
      <c r="B200" s="5">
        <v>44321</v>
      </c>
      <c r="C200" t="s">
        <v>12</v>
      </c>
      <c r="D200">
        <v>5</v>
      </c>
      <c r="F200" s="7">
        <f t="shared" si="3"/>
        <v>-5</v>
      </c>
      <c r="G200" s="6" t="s">
        <v>13</v>
      </c>
      <c r="H200" s="6" t="str">
        <f>_xlfn.XLOOKUP(Transactions[[#This Row],[Sub-category]],TblDV[Sub-category],TblDV[Category],"")</f>
        <v>Dining Out</v>
      </c>
      <c r="I200" s="6" t="str">
        <f>_xlfn.XLOOKUP(Transactions[[#This Row],[Sub-category]],TblDV[Sub-category],TblDV[Category Type],"")</f>
        <v>Expense</v>
      </c>
    </row>
    <row r="201" spans="1:9">
      <c r="A201" t="s">
        <v>4</v>
      </c>
      <c r="B201" s="5">
        <v>44322</v>
      </c>
      <c r="C201" t="s">
        <v>12</v>
      </c>
      <c r="D201">
        <v>5</v>
      </c>
      <c r="F201" s="7">
        <f t="shared" si="3"/>
        <v>-5</v>
      </c>
      <c r="G201" s="6" t="s">
        <v>13</v>
      </c>
      <c r="H201" s="6" t="str">
        <f>_xlfn.XLOOKUP(Transactions[[#This Row],[Sub-category]],TblDV[Sub-category],TblDV[Category],"")</f>
        <v>Dining Out</v>
      </c>
      <c r="I201" s="6" t="str">
        <f>_xlfn.XLOOKUP(Transactions[[#This Row],[Sub-category]],TblDV[Sub-category],TblDV[Category Type],"")</f>
        <v>Expense</v>
      </c>
    </row>
    <row r="202" spans="1:9">
      <c r="A202" t="s">
        <v>4</v>
      </c>
      <c r="B202" s="5">
        <v>44322</v>
      </c>
      <c r="C202" t="s">
        <v>18</v>
      </c>
      <c r="D202">
        <v>170</v>
      </c>
      <c r="F202" s="7">
        <f t="shared" si="3"/>
        <v>-170</v>
      </c>
      <c r="G202" s="6" t="s">
        <v>19</v>
      </c>
      <c r="H202" s="6" t="str">
        <f>_xlfn.XLOOKUP(Transactions[[#This Row],[Sub-category]],TblDV[Sub-category],TblDV[Category],"")</f>
        <v>Living Expenses</v>
      </c>
      <c r="I202" s="6" t="str">
        <f>_xlfn.XLOOKUP(Transactions[[#This Row],[Sub-category]],TblDV[Sub-category],TblDV[Category Type],"")</f>
        <v>Expense</v>
      </c>
    </row>
    <row r="203" spans="1:9">
      <c r="A203" t="s">
        <v>9</v>
      </c>
      <c r="B203" s="5">
        <v>44325</v>
      </c>
      <c r="C203" t="s">
        <v>20</v>
      </c>
      <c r="D203">
        <v>54.1</v>
      </c>
      <c r="F203" s="7">
        <f t="shared" si="3"/>
        <v>-54.1</v>
      </c>
      <c r="G203" s="6" t="s">
        <v>21</v>
      </c>
      <c r="H203" s="6" t="str">
        <f>_xlfn.XLOOKUP(Transactions[[#This Row],[Sub-category]],TblDV[Sub-category],TblDV[Category],"")</f>
        <v>Living Expenses</v>
      </c>
      <c r="I203" s="6" t="str">
        <f>_xlfn.XLOOKUP(Transactions[[#This Row],[Sub-category]],TblDV[Sub-category],TblDV[Category Type],"")</f>
        <v>Expense</v>
      </c>
    </row>
    <row r="204" spans="1:9">
      <c r="A204" t="s">
        <v>4</v>
      </c>
      <c r="B204" s="5">
        <v>44325</v>
      </c>
      <c r="C204" t="s">
        <v>12</v>
      </c>
      <c r="D204">
        <v>5</v>
      </c>
      <c r="F204" s="7">
        <f t="shared" si="3"/>
        <v>-5</v>
      </c>
      <c r="G204" s="6" t="s">
        <v>13</v>
      </c>
      <c r="H204" s="6" t="str">
        <f>_xlfn.XLOOKUP(Transactions[[#This Row],[Sub-category]],TblDV[Sub-category],TblDV[Category],"")</f>
        <v>Dining Out</v>
      </c>
      <c r="I204" s="6" t="str">
        <f>_xlfn.XLOOKUP(Transactions[[#This Row],[Sub-category]],TblDV[Sub-category],TblDV[Category Type],"")</f>
        <v>Expense</v>
      </c>
    </row>
    <row r="205" spans="1:9">
      <c r="A205" t="s">
        <v>4</v>
      </c>
      <c r="B205" s="5">
        <v>44326</v>
      </c>
      <c r="C205" t="s">
        <v>12</v>
      </c>
      <c r="D205">
        <v>5</v>
      </c>
      <c r="F205" s="7">
        <f t="shared" si="3"/>
        <v>-5</v>
      </c>
      <c r="G205" s="6" t="s">
        <v>13</v>
      </c>
      <c r="H205" s="6" t="str">
        <f>_xlfn.XLOOKUP(Transactions[[#This Row],[Sub-category]],TblDV[Sub-category],TblDV[Category],"")</f>
        <v>Dining Out</v>
      </c>
      <c r="I205" s="6" t="str">
        <f>_xlfn.XLOOKUP(Transactions[[#This Row],[Sub-category]],TblDV[Sub-category],TblDV[Category Type],"")</f>
        <v>Expense</v>
      </c>
    </row>
    <row r="206" spans="1:9">
      <c r="A206" t="s">
        <v>4</v>
      </c>
      <c r="B206" s="5">
        <v>44327</v>
      </c>
      <c r="C206" t="s">
        <v>22</v>
      </c>
      <c r="D206">
        <v>81</v>
      </c>
      <c r="F206" s="7">
        <f t="shared" si="3"/>
        <v>-81</v>
      </c>
      <c r="G206" s="6" t="s">
        <v>23</v>
      </c>
      <c r="H206" s="6" t="str">
        <f>_xlfn.XLOOKUP(Transactions[[#This Row],[Sub-category]],TblDV[Sub-category],TblDV[Category],"")</f>
        <v>Transport</v>
      </c>
      <c r="I206" s="6" t="str">
        <f>_xlfn.XLOOKUP(Transactions[[#This Row],[Sub-category]],TblDV[Sub-category],TblDV[Category Type],"")</f>
        <v>Expense</v>
      </c>
    </row>
    <row r="207" spans="1:9">
      <c r="A207" t="s">
        <v>4</v>
      </c>
      <c r="B207" s="5">
        <v>44327</v>
      </c>
      <c r="C207" t="s">
        <v>12</v>
      </c>
      <c r="D207">
        <v>5</v>
      </c>
      <c r="F207" s="7">
        <f t="shared" si="3"/>
        <v>-5</v>
      </c>
      <c r="G207" s="6" t="s">
        <v>13</v>
      </c>
      <c r="H207" s="6" t="str">
        <f>_xlfn.XLOOKUP(Transactions[[#This Row],[Sub-category]],TblDV[Sub-category],TblDV[Category],"")</f>
        <v>Dining Out</v>
      </c>
      <c r="I207" s="6" t="str">
        <f>_xlfn.XLOOKUP(Transactions[[#This Row],[Sub-category]],TblDV[Sub-category],TblDV[Category Type],"")</f>
        <v>Expense</v>
      </c>
    </row>
    <row r="208" spans="1:9">
      <c r="A208" t="s">
        <v>4</v>
      </c>
      <c r="B208" s="5">
        <v>44328</v>
      </c>
      <c r="C208" t="s">
        <v>12</v>
      </c>
      <c r="D208">
        <v>5</v>
      </c>
      <c r="F208" s="7">
        <f t="shared" si="3"/>
        <v>-5</v>
      </c>
      <c r="G208" s="6" t="s">
        <v>13</v>
      </c>
      <c r="H208" s="6" t="str">
        <f>_xlfn.XLOOKUP(Transactions[[#This Row],[Sub-category]],TblDV[Sub-category],TblDV[Category],"")</f>
        <v>Dining Out</v>
      </c>
      <c r="I208" s="6" t="str">
        <f>_xlfn.XLOOKUP(Transactions[[#This Row],[Sub-category]],TblDV[Sub-category],TblDV[Category Type],"")</f>
        <v>Expense</v>
      </c>
    </row>
    <row r="209" spans="1:9">
      <c r="A209" t="s">
        <v>4</v>
      </c>
      <c r="B209" s="5">
        <v>44329</v>
      </c>
      <c r="C209" t="s">
        <v>18</v>
      </c>
      <c r="D209">
        <v>139.1</v>
      </c>
      <c r="F209" s="7">
        <f t="shared" si="3"/>
        <v>-139.1</v>
      </c>
      <c r="G209" s="6" t="s">
        <v>19</v>
      </c>
      <c r="H209" s="6" t="str">
        <f>_xlfn.XLOOKUP(Transactions[[#This Row],[Sub-category]],TblDV[Sub-category],TblDV[Category],"")</f>
        <v>Living Expenses</v>
      </c>
      <c r="I209" s="6" t="str">
        <f>_xlfn.XLOOKUP(Transactions[[#This Row],[Sub-category]],TblDV[Sub-category],TblDV[Category Type],"")</f>
        <v>Expense</v>
      </c>
    </row>
    <row r="210" spans="1:9">
      <c r="A210" t="s">
        <v>4</v>
      </c>
      <c r="B210" s="5">
        <v>44329</v>
      </c>
      <c r="C210" t="s">
        <v>12</v>
      </c>
      <c r="D210">
        <v>5</v>
      </c>
      <c r="F210" s="7">
        <f t="shared" si="3"/>
        <v>-5</v>
      </c>
      <c r="G210" s="6" t="s">
        <v>13</v>
      </c>
      <c r="H210" s="6" t="str">
        <f>_xlfn.XLOOKUP(Transactions[[#This Row],[Sub-category]],TblDV[Sub-category],TblDV[Category],"")</f>
        <v>Dining Out</v>
      </c>
      <c r="I210" s="6" t="str">
        <f>_xlfn.XLOOKUP(Transactions[[#This Row],[Sub-category]],TblDV[Sub-category],TblDV[Category Type],"")</f>
        <v>Expense</v>
      </c>
    </row>
    <row r="211" spans="1:9">
      <c r="A211" t="s">
        <v>4</v>
      </c>
      <c r="B211" s="5">
        <v>44330</v>
      </c>
      <c r="C211" t="s">
        <v>12</v>
      </c>
      <c r="D211">
        <v>5</v>
      </c>
      <c r="F211" s="7">
        <f t="shared" si="3"/>
        <v>-5</v>
      </c>
      <c r="G211" s="6" t="s">
        <v>13</v>
      </c>
      <c r="H211" s="6" t="str">
        <f>_xlfn.XLOOKUP(Transactions[[#This Row],[Sub-category]],TblDV[Sub-category],TblDV[Category],"")</f>
        <v>Dining Out</v>
      </c>
      <c r="I211" s="6" t="str">
        <f>_xlfn.XLOOKUP(Transactions[[#This Row],[Sub-category]],TblDV[Sub-category],TblDV[Category Type],"")</f>
        <v>Expense</v>
      </c>
    </row>
    <row r="212" spans="1:9">
      <c r="A212" t="s">
        <v>4</v>
      </c>
      <c r="B212" s="5">
        <v>44330</v>
      </c>
      <c r="C212" t="s">
        <v>24</v>
      </c>
      <c r="D212">
        <v>43.9</v>
      </c>
      <c r="F212" s="7">
        <f t="shared" si="3"/>
        <v>-43.9</v>
      </c>
      <c r="G212" s="6" t="s">
        <v>25</v>
      </c>
      <c r="H212" s="6" t="str">
        <f>_xlfn.XLOOKUP(Transactions[[#This Row],[Sub-category]],TblDV[Sub-category],TblDV[Category],"")</f>
        <v>Discretionary</v>
      </c>
      <c r="I212" s="6" t="str">
        <f>_xlfn.XLOOKUP(Transactions[[#This Row],[Sub-category]],TblDV[Sub-category],TblDV[Category Type],"")</f>
        <v>Expense</v>
      </c>
    </row>
    <row r="213" spans="1:9">
      <c r="A213" t="s">
        <v>4</v>
      </c>
      <c r="B213" s="5">
        <v>44330</v>
      </c>
      <c r="C213" t="s">
        <v>26</v>
      </c>
      <c r="D213">
        <v>101.8</v>
      </c>
      <c r="F213" s="7">
        <f t="shared" si="3"/>
        <v>-101.8</v>
      </c>
      <c r="G213" s="6" t="s">
        <v>27</v>
      </c>
      <c r="H213" s="6" t="str">
        <f>_xlfn.XLOOKUP(Transactions[[#This Row],[Sub-category]],TblDV[Sub-category],TblDV[Category],"")</f>
        <v>Discretionary</v>
      </c>
      <c r="I213" s="6" t="str">
        <f>_xlfn.XLOOKUP(Transactions[[#This Row],[Sub-category]],TblDV[Sub-category],TblDV[Category Type],"")</f>
        <v>Expense</v>
      </c>
    </row>
    <row r="214" spans="1:9">
      <c r="A214" t="s">
        <v>4</v>
      </c>
      <c r="B214" s="5">
        <v>44330</v>
      </c>
      <c r="C214" t="s">
        <v>28</v>
      </c>
      <c r="D214">
        <v>55.9</v>
      </c>
      <c r="F214" s="7">
        <f t="shared" si="3"/>
        <v>-55.9</v>
      </c>
      <c r="G214" s="6" t="s">
        <v>29</v>
      </c>
      <c r="H214" s="6" t="str">
        <f>_xlfn.XLOOKUP(Transactions[[#This Row],[Sub-category]],TblDV[Sub-category],TblDV[Category],"")</f>
        <v>Dining Out</v>
      </c>
      <c r="I214" s="6" t="str">
        <f>_xlfn.XLOOKUP(Transactions[[#This Row],[Sub-category]],TblDV[Sub-category],TblDV[Category Type],"")</f>
        <v>Expense</v>
      </c>
    </row>
    <row r="215" spans="1:9">
      <c r="A215" t="s">
        <v>4</v>
      </c>
      <c r="B215" s="5">
        <v>44331</v>
      </c>
      <c r="C215" t="s">
        <v>30</v>
      </c>
      <c r="D215">
        <v>32</v>
      </c>
      <c r="F215" s="7">
        <f t="shared" si="3"/>
        <v>-32</v>
      </c>
      <c r="G215" s="6" t="s">
        <v>31</v>
      </c>
      <c r="H215" s="6" t="str">
        <f>_xlfn.XLOOKUP(Transactions[[#This Row],[Sub-category]],TblDV[Sub-category],TblDV[Category],"")</f>
        <v>Transport</v>
      </c>
      <c r="I215" s="6" t="str">
        <f>_xlfn.XLOOKUP(Transactions[[#This Row],[Sub-category]],TblDV[Sub-category],TblDV[Category Type],"")</f>
        <v>Expense</v>
      </c>
    </row>
    <row r="216" spans="1:9">
      <c r="A216" t="s">
        <v>9</v>
      </c>
      <c r="B216" s="5">
        <v>44332</v>
      </c>
      <c r="C216" t="s">
        <v>32</v>
      </c>
      <c r="D216">
        <v>30</v>
      </c>
      <c r="F216" s="7">
        <f t="shared" si="3"/>
        <v>-30</v>
      </c>
      <c r="G216" s="6" t="s">
        <v>33</v>
      </c>
      <c r="H216" s="6" t="str">
        <f>_xlfn.XLOOKUP(Transactions[[#This Row],[Sub-category]],TblDV[Sub-category],TblDV[Category],"")</f>
        <v>Discretionary</v>
      </c>
      <c r="I216" s="6" t="str">
        <f>_xlfn.XLOOKUP(Transactions[[#This Row],[Sub-category]],TblDV[Sub-category],TblDV[Category Type],"")</f>
        <v>Expense</v>
      </c>
    </row>
    <row r="217" spans="1:9">
      <c r="A217" t="s">
        <v>4</v>
      </c>
      <c r="B217" s="5">
        <v>44332</v>
      </c>
      <c r="C217" t="s">
        <v>12</v>
      </c>
      <c r="D217">
        <v>5</v>
      </c>
      <c r="F217" s="7">
        <f t="shared" si="3"/>
        <v>-5</v>
      </c>
      <c r="G217" s="6" t="s">
        <v>13</v>
      </c>
      <c r="H217" s="6" t="str">
        <f>_xlfn.XLOOKUP(Transactions[[#This Row],[Sub-category]],TblDV[Sub-category],TblDV[Category],"")</f>
        <v>Dining Out</v>
      </c>
      <c r="I217" s="6" t="str">
        <f>_xlfn.XLOOKUP(Transactions[[#This Row],[Sub-category]],TblDV[Sub-category],TblDV[Category Type],"")</f>
        <v>Expense</v>
      </c>
    </row>
    <row r="218" spans="1:9">
      <c r="A218" t="s">
        <v>4</v>
      </c>
      <c r="B218" s="5">
        <v>44333</v>
      </c>
      <c r="C218" t="s">
        <v>12</v>
      </c>
      <c r="D218">
        <v>5</v>
      </c>
      <c r="F218" s="7">
        <f t="shared" si="3"/>
        <v>-5</v>
      </c>
      <c r="G218" s="6" t="s">
        <v>13</v>
      </c>
      <c r="H218" s="6" t="str">
        <f>_xlfn.XLOOKUP(Transactions[[#This Row],[Sub-category]],TblDV[Sub-category],TblDV[Category],"")</f>
        <v>Dining Out</v>
      </c>
      <c r="I218" s="6" t="str">
        <f>_xlfn.XLOOKUP(Transactions[[#This Row],[Sub-category]],TblDV[Sub-category],TblDV[Category Type],"")</f>
        <v>Expense</v>
      </c>
    </row>
    <row r="219" spans="1:9">
      <c r="A219" t="s">
        <v>9</v>
      </c>
      <c r="B219" s="5">
        <v>44333</v>
      </c>
      <c r="C219" t="s">
        <v>48</v>
      </c>
      <c r="D219">
        <v>75</v>
      </c>
      <c r="F219" s="7">
        <f t="shared" si="3"/>
        <v>-75</v>
      </c>
      <c r="G219" s="6" t="s">
        <v>49</v>
      </c>
      <c r="H219" s="6" t="str">
        <f>_xlfn.XLOOKUP(Transactions[[#This Row],[Sub-category]],TblDV[Sub-category],TblDV[Category],"")</f>
        <v>Medical</v>
      </c>
      <c r="I219" s="6" t="str">
        <f>_xlfn.XLOOKUP(Transactions[[#This Row],[Sub-category]],TblDV[Sub-category],TblDV[Category Type],"")</f>
        <v>Expense</v>
      </c>
    </row>
    <row r="220" spans="1:9">
      <c r="A220" t="s">
        <v>9</v>
      </c>
      <c r="B220" s="5">
        <v>44333</v>
      </c>
      <c r="C220" t="s">
        <v>36</v>
      </c>
      <c r="D220">
        <v>40</v>
      </c>
      <c r="F220" s="7">
        <f t="shared" si="3"/>
        <v>-40</v>
      </c>
      <c r="G220" s="6" t="s">
        <v>37</v>
      </c>
      <c r="H220" s="6" t="str">
        <f>_xlfn.XLOOKUP(Transactions[[#This Row],[Sub-category]],TblDV[Sub-category],TblDV[Category],"")</f>
        <v>Living Expenses</v>
      </c>
      <c r="I220" s="6" t="str">
        <f>_xlfn.XLOOKUP(Transactions[[#This Row],[Sub-category]],TblDV[Sub-category],TblDV[Category Type],"")</f>
        <v>Expense</v>
      </c>
    </row>
    <row r="221" spans="1:9">
      <c r="A221" t="s">
        <v>4</v>
      </c>
      <c r="B221" s="5">
        <v>44334</v>
      </c>
      <c r="C221" t="s">
        <v>38</v>
      </c>
      <c r="D221">
        <v>49</v>
      </c>
      <c r="F221" s="7">
        <f t="shared" si="3"/>
        <v>-49</v>
      </c>
      <c r="G221" s="6" t="s">
        <v>39</v>
      </c>
      <c r="H221" s="6" t="str">
        <f>_xlfn.XLOOKUP(Transactions[[#This Row],[Sub-category]],TblDV[Sub-category],TblDV[Category],"")</f>
        <v>Discretionary</v>
      </c>
      <c r="I221" s="6" t="str">
        <f>_xlfn.XLOOKUP(Transactions[[#This Row],[Sub-category]],TblDV[Sub-category],TblDV[Category Type],"")</f>
        <v>Expense</v>
      </c>
    </row>
    <row r="222" spans="1:9">
      <c r="A222" t="s">
        <v>4</v>
      </c>
      <c r="B222" s="5">
        <v>44334</v>
      </c>
      <c r="C222" t="s">
        <v>40</v>
      </c>
      <c r="D222">
        <v>35</v>
      </c>
      <c r="F222" s="7">
        <f t="shared" si="3"/>
        <v>-35</v>
      </c>
      <c r="G222" s="6" t="s">
        <v>25</v>
      </c>
      <c r="H222" s="6" t="str">
        <f>_xlfn.XLOOKUP(Transactions[[#This Row],[Sub-category]],TblDV[Sub-category],TblDV[Category],"")</f>
        <v>Discretionary</v>
      </c>
      <c r="I222" s="6" t="str">
        <f>_xlfn.XLOOKUP(Transactions[[#This Row],[Sub-category]],TblDV[Sub-category],TblDV[Category Type],"")</f>
        <v>Expense</v>
      </c>
    </row>
    <row r="223" spans="1:9">
      <c r="A223" t="s">
        <v>4</v>
      </c>
      <c r="B223" s="5">
        <v>44334</v>
      </c>
      <c r="C223" t="s">
        <v>12</v>
      </c>
      <c r="D223">
        <v>5</v>
      </c>
      <c r="F223" s="7">
        <f t="shared" si="3"/>
        <v>-5</v>
      </c>
      <c r="G223" s="6" t="s">
        <v>13</v>
      </c>
      <c r="H223" s="6" t="str">
        <f>_xlfn.XLOOKUP(Transactions[[#This Row],[Sub-category]],TblDV[Sub-category],TblDV[Category],"")</f>
        <v>Dining Out</v>
      </c>
      <c r="I223" s="6" t="str">
        <f>_xlfn.XLOOKUP(Transactions[[#This Row],[Sub-category]],TblDV[Sub-category],TblDV[Category Type],"")</f>
        <v>Expense</v>
      </c>
    </row>
    <row r="224" spans="1:9">
      <c r="A224" t="s">
        <v>4</v>
      </c>
      <c r="B224" s="5">
        <v>44335</v>
      </c>
      <c r="C224" t="s">
        <v>12</v>
      </c>
      <c r="D224">
        <v>5</v>
      </c>
      <c r="F224" s="7">
        <f t="shared" si="3"/>
        <v>-5</v>
      </c>
      <c r="G224" s="6" t="s">
        <v>13</v>
      </c>
      <c r="H224" s="6" t="str">
        <f>_xlfn.XLOOKUP(Transactions[[#This Row],[Sub-category]],TblDV[Sub-category],TblDV[Category],"")</f>
        <v>Dining Out</v>
      </c>
      <c r="I224" s="6" t="str">
        <f>_xlfn.XLOOKUP(Transactions[[#This Row],[Sub-category]],TblDV[Sub-category],TblDV[Category Type],"")</f>
        <v>Expense</v>
      </c>
    </row>
    <row r="225" spans="1:9">
      <c r="A225" t="s">
        <v>4</v>
      </c>
      <c r="B225" s="5">
        <v>44336</v>
      </c>
      <c r="C225" t="s">
        <v>12</v>
      </c>
      <c r="D225">
        <v>5</v>
      </c>
      <c r="F225" s="7">
        <f t="shared" si="3"/>
        <v>-5</v>
      </c>
      <c r="G225" s="6" t="s">
        <v>13</v>
      </c>
      <c r="H225" s="6" t="str">
        <f>_xlfn.XLOOKUP(Transactions[[#This Row],[Sub-category]],TblDV[Sub-category],TblDV[Category],"")</f>
        <v>Dining Out</v>
      </c>
      <c r="I225" s="6" t="str">
        <f>_xlfn.XLOOKUP(Transactions[[#This Row],[Sub-category]],TblDV[Sub-category],TblDV[Category Type],"")</f>
        <v>Expense</v>
      </c>
    </row>
    <row r="226" spans="1:9">
      <c r="A226" t="s">
        <v>4</v>
      </c>
      <c r="B226" s="5">
        <v>44336</v>
      </c>
      <c r="C226" t="s">
        <v>18</v>
      </c>
      <c r="D226">
        <v>174</v>
      </c>
      <c r="F226" s="7">
        <f t="shared" si="3"/>
        <v>-174</v>
      </c>
      <c r="G226" s="6" t="s">
        <v>19</v>
      </c>
      <c r="H226" s="6" t="str">
        <f>_xlfn.XLOOKUP(Transactions[[#This Row],[Sub-category]],TblDV[Sub-category],TblDV[Category],"")</f>
        <v>Living Expenses</v>
      </c>
      <c r="I226" s="6" t="str">
        <f>_xlfn.XLOOKUP(Transactions[[#This Row],[Sub-category]],TblDV[Sub-category],TblDV[Category Type],"")</f>
        <v>Expense</v>
      </c>
    </row>
    <row r="227" spans="1:9">
      <c r="A227" t="s">
        <v>4</v>
      </c>
      <c r="B227" s="5">
        <v>44337</v>
      </c>
      <c r="C227" t="s">
        <v>41</v>
      </c>
      <c r="D227">
        <v>41.1</v>
      </c>
      <c r="F227" s="7">
        <f t="shared" si="3"/>
        <v>-41.1</v>
      </c>
      <c r="G227" s="6" t="s">
        <v>29</v>
      </c>
      <c r="H227" s="6" t="str">
        <f>_xlfn.XLOOKUP(Transactions[[#This Row],[Sub-category]],TblDV[Sub-category],TblDV[Category],"")</f>
        <v>Dining Out</v>
      </c>
      <c r="I227" s="6" t="str">
        <f>_xlfn.XLOOKUP(Transactions[[#This Row],[Sub-category]],TblDV[Sub-category],TblDV[Category Type],"")</f>
        <v>Expense</v>
      </c>
    </row>
    <row r="228" spans="1:9">
      <c r="A228" t="s">
        <v>4</v>
      </c>
      <c r="B228" s="5">
        <v>44338</v>
      </c>
      <c r="C228" t="s">
        <v>42</v>
      </c>
      <c r="D228">
        <v>16.2</v>
      </c>
      <c r="F228" s="7">
        <f t="shared" si="3"/>
        <v>-16.2</v>
      </c>
      <c r="G228" s="6" t="s">
        <v>29</v>
      </c>
      <c r="H228" s="6" t="str">
        <f>_xlfn.XLOOKUP(Transactions[[#This Row],[Sub-category]],TblDV[Sub-category],TblDV[Category],"")</f>
        <v>Dining Out</v>
      </c>
      <c r="I228" s="6" t="str">
        <f>_xlfn.XLOOKUP(Transactions[[#This Row],[Sub-category]],TblDV[Sub-category],TblDV[Category Type],"")</f>
        <v>Expense</v>
      </c>
    </row>
    <row r="229" spans="1:9">
      <c r="A229" t="s">
        <v>9</v>
      </c>
      <c r="B229" s="5">
        <v>44339</v>
      </c>
      <c r="C229" t="s">
        <v>43</v>
      </c>
      <c r="D229">
        <v>55</v>
      </c>
      <c r="F229" s="7">
        <f t="shared" si="3"/>
        <v>-55</v>
      </c>
      <c r="G229" s="6" t="s">
        <v>44</v>
      </c>
      <c r="H229" s="6" t="str">
        <f>_xlfn.XLOOKUP(Transactions[[#This Row],[Sub-category]],TblDV[Sub-category],TblDV[Category],"")</f>
        <v>Charity</v>
      </c>
      <c r="I229" s="6" t="str">
        <f>_xlfn.XLOOKUP(Transactions[[#This Row],[Sub-category]],TblDV[Sub-category],TblDV[Category Type],"")</f>
        <v>Expense</v>
      </c>
    </row>
    <row r="230" spans="1:9">
      <c r="A230" t="s">
        <v>4</v>
      </c>
      <c r="B230" s="5">
        <v>44339</v>
      </c>
      <c r="C230" t="s">
        <v>22</v>
      </c>
      <c r="D230">
        <v>67</v>
      </c>
      <c r="F230" s="7">
        <f t="shared" si="3"/>
        <v>-67</v>
      </c>
      <c r="G230" s="6" t="s">
        <v>23</v>
      </c>
      <c r="H230" s="6" t="str">
        <f>_xlfn.XLOOKUP(Transactions[[#This Row],[Sub-category]],TblDV[Sub-category],TblDV[Category],"")</f>
        <v>Transport</v>
      </c>
      <c r="I230" s="6" t="str">
        <f>_xlfn.XLOOKUP(Transactions[[#This Row],[Sub-category]],TblDV[Sub-category],TblDV[Category Type],"")</f>
        <v>Expense</v>
      </c>
    </row>
    <row r="231" spans="1:9">
      <c r="A231" t="s">
        <v>4</v>
      </c>
      <c r="B231" s="5">
        <v>44339</v>
      </c>
      <c r="C231" t="s">
        <v>12</v>
      </c>
      <c r="D231">
        <v>5</v>
      </c>
      <c r="F231" s="7">
        <f t="shared" si="3"/>
        <v>-5</v>
      </c>
      <c r="G231" s="6" t="s">
        <v>13</v>
      </c>
      <c r="H231" s="6" t="str">
        <f>_xlfn.XLOOKUP(Transactions[[#This Row],[Sub-category]],TblDV[Sub-category],TblDV[Category],"")</f>
        <v>Dining Out</v>
      </c>
      <c r="I231" s="6" t="str">
        <f>_xlfn.XLOOKUP(Transactions[[#This Row],[Sub-category]],TblDV[Sub-category],TblDV[Category Type],"")</f>
        <v>Expense</v>
      </c>
    </row>
    <row r="232" spans="1:9">
      <c r="A232" t="s">
        <v>4</v>
      </c>
      <c r="B232" s="5">
        <v>44340</v>
      </c>
      <c r="C232" t="s">
        <v>12</v>
      </c>
      <c r="D232">
        <v>5</v>
      </c>
      <c r="F232" s="7">
        <f t="shared" si="3"/>
        <v>-5</v>
      </c>
      <c r="G232" s="6" t="s">
        <v>13</v>
      </c>
      <c r="H232" s="6" t="str">
        <f>_xlfn.XLOOKUP(Transactions[[#This Row],[Sub-category]],TblDV[Sub-category],TblDV[Category],"")</f>
        <v>Dining Out</v>
      </c>
      <c r="I232" s="6" t="str">
        <f>_xlfn.XLOOKUP(Transactions[[#This Row],[Sub-category]],TblDV[Sub-category],TblDV[Category Type],"")</f>
        <v>Expense</v>
      </c>
    </row>
    <row r="233" spans="1:9">
      <c r="A233" t="s">
        <v>4</v>
      </c>
      <c r="B233" s="5">
        <v>44341</v>
      </c>
      <c r="C233" t="s">
        <v>12</v>
      </c>
      <c r="D233">
        <v>5</v>
      </c>
      <c r="F233" s="7">
        <f t="shared" si="3"/>
        <v>-5</v>
      </c>
      <c r="G233" s="6" t="s">
        <v>13</v>
      </c>
      <c r="H233" s="6" t="str">
        <f>_xlfn.XLOOKUP(Transactions[[#This Row],[Sub-category]],TblDV[Sub-category],TblDV[Category],"")</f>
        <v>Dining Out</v>
      </c>
      <c r="I233" s="6" t="str">
        <f>_xlfn.XLOOKUP(Transactions[[#This Row],[Sub-category]],TblDV[Sub-category],TblDV[Category Type],"")</f>
        <v>Expense</v>
      </c>
    </row>
    <row r="234" spans="1:9">
      <c r="A234" t="s">
        <v>4</v>
      </c>
      <c r="B234" s="5">
        <v>44342</v>
      </c>
      <c r="C234" t="s">
        <v>12</v>
      </c>
      <c r="D234">
        <v>5</v>
      </c>
      <c r="F234" s="7">
        <f t="shared" si="3"/>
        <v>-5</v>
      </c>
      <c r="G234" s="6" t="s">
        <v>13</v>
      </c>
      <c r="H234" s="6" t="str">
        <f>_xlfn.XLOOKUP(Transactions[[#This Row],[Sub-category]],TblDV[Sub-category],TblDV[Category],"")</f>
        <v>Dining Out</v>
      </c>
      <c r="I234" s="6" t="str">
        <f>_xlfn.XLOOKUP(Transactions[[#This Row],[Sub-category]],TblDV[Sub-category],TblDV[Category Type],"")</f>
        <v>Expense</v>
      </c>
    </row>
    <row r="235" spans="1:9">
      <c r="A235" t="s">
        <v>4</v>
      </c>
      <c r="B235" s="5">
        <v>44343</v>
      </c>
      <c r="C235" t="s">
        <v>12</v>
      </c>
      <c r="D235">
        <v>5</v>
      </c>
      <c r="F235" s="7">
        <f t="shared" si="3"/>
        <v>-5</v>
      </c>
      <c r="G235" s="6" t="s">
        <v>13</v>
      </c>
      <c r="H235" s="6" t="str">
        <f>_xlfn.XLOOKUP(Transactions[[#This Row],[Sub-category]],TblDV[Sub-category],TblDV[Category],"")</f>
        <v>Dining Out</v>
      </c>
      <c r="I235" s="6" t="str">
        <f>_xlfn.XLOOKUP(Transactions[[#This Row],[Sub-category]],TblDV[Sub-category],TblDV[Category Type],"")</f>
        <v>Expense</v>
      </c>
    </row>
    <row r="236" spans="1:9">
      <c r="A236" t="s">
        <v>4</v>
      </c>
      <c r="B236" s="5">
        <v>44343</v>
      </c>
      <c r="C236" t="s">
        <v>18</v>
      </c>
      <c r="D236">
        <v>165.8</v>
      </c>
      <c r="F236" s="7">
        <f t="shared" si="3"/>
        <v>-165.8</v>
      </c>
      <c r="G236" s="6" t="s">
        <v>19</v>
      </c>
      <c r="H236" s="6" t="str">
        <f>_xlfn.XLOOKUP(Transactions[[#This Row],[Sub-category]],TblDV[Sub-category],TblDV[Category],"")</f>
        <v>Living Expenses</v>
      </c>
      <c r="I236" s="6" t="str">
        <f>_xlfn.XLOOKUP(Transactions[[#This Row],[Sub-category]],TblDV[Sub-category],TblDV[Category Type],"")</f>
        <v>Expense</v>
      </c>
    </row>
    <row r="237" spans="1:9">
      <c r="A237" t="s">
        <v>4</v>
      </c>
      <c r="B237" s="5">
        <v>44344</v>
      </c>
      <c r="C237" t="s">
        <v>45</v>
      </c>
      <c r="D237">
        <v>128.8</v>
      </c>
      <c r="F237" s="7">
        <f t="shared" si="3"/>
        <v>-128.8</v>
      </c>
      <c r="G237" s="6" t="s">
        <v>27</v>
      </c>
      <c r="H237" s="6" t="str">
        <f>_xlfn.XLOOKUP(Transactions[[#This Row],[Sub-category]],TblDV[Sub-category],TblDV[Category],"")</f>
        <v>Discretionary</v>
      </c>
      <c r="I237" s="6" t="str">
        <f>_xlfn.XLOOKUP(Transactions[[#This Row],[Sub-category]],TblDV[Sub-category],TblDV[Category Type],"")</f>
        <v>Expense</v>
      </c>
    </row>
    <row r="238" spans="1:9">
      <c r="A238" t="s">
        <v>4</v>
      </c>
      <c r="B238" s="5">
        <v>44344</v>
      </c>
      <c r="C238" t="s">
        <v>53</v>
      </c>
      <c r="D238">
        <v>235</v>
      </c>
      <c r="F238" s="7">
        <f t="shared" si="3"/>
        <v>-235</v>
      </c>
      <c r="G238" s="6" t="s">
        <v>54</v>
      </c>
      <c r="H238" s="6" t="str">
        <f>_xlfn.XLOOKUP(Transactions[[#This Row],[Sub-category]],TblDV[Sub-category],TblDV[Category],"")</f>
        <v>Discretionary</v>
      </c>
      <c r="I238" s="6" t="str">
        <f>_xlfn.XLOOKUP(Transactions[[#This Row],[Sub-category]],TblDV[Sub-category],TblDV[Category Type],"")</f>
        <v>Expense</v>
      </c>
    </row>
    <row r="239" spans="1:9">
      <c r="A239" t="s">
        <v>4</v>
      </c>
      <c r="B239" s="5">
        <v>44345</v>
      </c>
      <c r="C239" t="s">
        <v>26</v>
      </c>
      <c r="D239">
        <v>149.2</v>
      </c>
      <c r="F239" s="7">
        <f t="shared" si="3"/>
        <v>-149.2</v>
      </c>
      <c r="G239" s="6" t="s">
        <v>27</v>
      </c>
      <c r="H239" s="6" t="str">
        <f>_xlfn.XLOOKUP(Transactions[[#This Row],[Sub-category]],TblDV[Sub-category],TblDV[Category],"")</f>
        <v>Discretionary</v>
      </c>
      <c r="I239" s="6" t="str">
        <f>_xlfn.XLOOKUP(Transactions[[#This Row],[Sub-category]],TblDV[Sub-category],TblDV[Category Type],"")</f>
        <v>Expense</v>
      </c>
    </row>
    <row r="240" spans="1:9">
      <c r="A240" t="s">
        <v>4</v>
      </c>
      <c r="B240" s="5">
        <v>44345</v>
      </c>
      <c r="C240" t="s">
        <v>30</v>
      </c>
      <c r="D240">
        <v>27.2</v>
      </c>
      <c r="F240" s="7">
        <f t="shared" si="3"/>
        <v>-27.2</v>
      </c>
      <c r="G240" s="6" t="s">
        <v>31</v>
      </c>
      <c r="H240" s="6" t="str">
        <f>_xlfn.XLOOKUP(Transactions[[#This Row],[Sub-category]],TblDV[Sub-category],TblDV[Category],"")</f>
        <v>Transport</v>
      </c>
      <c r="I240" s="6" t="str">
        <f>_xlfn.XLOOKUP(Transactions[[#This Row],[Sub-category]],TblDV[Sub-category],TblDV[Category Type],"")</f>
        <v>Expense</v>
      </c>
    </row>
    <row r="241" spans="1:9">
      <c r="A241" t="s">
        <v>4</v>
      </c>
      <c r="B241" s="5">
        <v>44347</v>
      </c>
      <c r="C241" t="s">
        <v>51</v>
      </c>
      <c r="D241">
        <v>15</v>
      </c>
      <c r="F241" s="7">
        <f t="shared" si="3"/>
        <v>-15</v>
      </c>
      <c r="G241" s="6" t="s">
        <v>29</v>
      </c>
      <c r="H241" s="6" t="str">
        <f>_xlfn.XLOOKUP(Transactions[[#This Row],[Sub-category]],TblDV[Sub-category],TblDV[Category],"")</f>
        <v>Dining Out</v>
      </c>
      <c r="I241" s="6" t="str">
        <f>_xlfn.XLOOKUP(Transactions[[#This Row],[Sub-category]],TblDV[Sub-category],TblDV[Category Type],"")</f>
        <v>Expense</v>
      </c>
    </row>
    <row r="242" spans="1:9">
      <c r="A242" t="s">
        <v>4</v>
      </c>
      <c r="B242" s="5">
        <v>44346</v>
      </c>
      <c r="C242" t="s">
        <v>12</v>
      </c>
      <c r="D242">
        <v>5</v>
      </c>
      <c r="F242" s="7">
        <f t="shared" si="3"/>
        <v>-5</v>
      </c>
      <c r="G242" s="6" t="s">
        <v>13</v>
      </c>
      <c r="H242" s="6" t="str">
        <f>_xlfn.XLOOKUP(Transactions[[#This Row],[Sub-category]],TblDV[Sub-category],TblDV[Category],"")</f>
        <v>Dining Out</v>
      </c>
      <c r="I242" s="6" t="str">
        <f>_xlfn.XLOOKUP(Transactions[[#This Row],[Sub-category]],TblDV[Sub-category],TblDV[Category Type],"")</f>
        <v>Expense</v>
      </c>
    </row>
    <row r="243" spans="1:9">
      <c r="A243" t="s">
        <v>4</v>
      </c>
      <c r="B243" s="5">
        <v>44347</v>
      </c>
      <c r="C243" t="s">
        <v>12</v>
      </c>
      <c r="D243">
        <v>5</v>
      </c>
      <c r="F243" s="7">
        <f t="shared" si="3"/>
        <v>-5</v>
      </c>
      <c r="G243" s="6" t="s">
        <v>13</v>
      </c>
      <c r="H243" s="6" t="str">
        <f>_xlfn.XLOOKUP(Transactions[[#This Row],[Sub-category]],TblDV[Sub-category],TblDV[Category],"")</f>
        <v>Dining Out</v>
      </c>
      <c r="I243" s="6" t="str">
        <f>_xlfn.XLOOKUP(Transactions[[#This Row],[Sub-category]],TblDV[Sub-category],TblDV[Category Type],"")</f>
        <v>Expense</v>
      </c>
    </row>
    <row r="244" spans="1:9">
      <c r="A244" t="s">
        <v>9</v>
      </c>
      <c r="B244" s="5">
        <v>44348</v>
      </c>
      <c r="C244" t="s">
        <v>10</v>
      </c>
      <c r="E244">
        <v>4000</v>
      </c>
      <c r="F244" s="7">
        <f t="shared" si="3"/>
        <v>4000</v>
      </c>
      <c r="G244" s="6" t="s">
        <v>11</v>
      </c>
      <c r="H244" s="6" t="str">
        <f>_xlfn.XLOOKUP(Transactions[[#This Row],[Sub-category]],TblDV[Sub-category],TblDV[Category],"")</f>
        <v>Salary</v>
      </c>
      <c r="I244" s="6" t="str">
        <f>_xlfn.XLOOKUP(Transactions[[#This Row],[Sub-category]],TblDV[Sub-category],TblDV[Category Type],"")</f>
        <v>Income</v>
      </c>
    </row>
    <row r="245" spans="1:9">
      <c r="A245" t="s">
        <v>4</v>
      </c>
      <c r="B245" s="5">
        <v>44350</v>
      </c>
      <c r="C245" t="s">
        <v>12</v>
      </c>
      <c r="D245">
        <v>5</v>
      </c>
      <c r="F245" s="7">
        <f t="shared" si="3"/>
        <v>-5</v>
      </c>
      <c r="G245" s="6" t="s">
        <v>13</v>
      </c>
      <c r="H245" s="6" t="str">
        <f>_xlfn.XLOOKUP(Transactions[[#This Row],[Sub-category]],TblDV[Sub-category],TblDV[Category],"")</f>
        <v>Dining Out</v>
      </c>
      <c r="I245" s="6" t="str">
        <f>_xlfn.XLOOKUP(Transactions[[#This Row],[Sub-category]],TblDV[Sub-category],TblDV[Category Type],"")</f>
        <v>Expense</v>
      </c>
    </row>
    <row r="246" spans="1:9">
      <c r="A246" t="s">
        <v>9</v>
      </c>
      <c r="B246" s="5">
        <v>44350</v>
      </c>
      <c r="C246" t="s">
        <v>14</v>
      </c>
      <c r="D246">
        <v>900</v>
      </c>
      <c r="F246" s="7">
        <f t="shared" si="3"/>
        <v>-900</v>
      </c>
      <c r="G246" s="6" t="s">
        <v>15</v>
      </c>
      <c r="H246" s="6" t="str">
        <f>_xlfn.XLOOKUP(Transactions[[#This Row],[Sub-category]],TblDV[Sub-category],TblDV[Category],"")</f>
        <v>Living Expenses</v>
      </c>
      <c r="I246" s="6" t="str">
        <f>_xlfn.XLOOKUP(Transactions[[#This Row],[Sub-category]],TblDV[Sub-category],TblDV[Category Type],"")</f>
        <v>Expense</v>
      </c>
    </row>
    <row r="247" spans="1:9">
      <c r="A247" t="s">
        <v>9</v>
      </c>
      <c r="B247" s="5">
        <v>44350</v>
      </c>
      <c r="C247" t="s">
        <v>16</v>
      </c>
      <c r="D247">
        <v>150</v>
      </c>
      <c r="F247" s="7">
        <f t="shared" si="3"/>
        <v>-150</v>
      </c>
      <c r="G247" s="6" t="s">
        <v>17</v>
      </c>
      <c r="H247" s="6" t="str">
        <f>_xlfn.XLOOKUP(Transactions[[#This Row],[Sub-category]],TblDV[Sub-category],TblDV[Category],"")</f>
        <v>Transport</v>
      </c>
      <c r="I247" s="6" t="str">
        <f>_xlfn.XLOOKUP(Transactions[[#This Row],[Sub-category]],TblDV[Sub-category],TblDV[Category Type],"")</f>
        <v>Expense</v>
      </c>
    </row>
    <row r="248" spans="1:9">
      <c r="A248" t="s">
        <v>4</v>
      </c>
      <c r="B248" s="5">
        <v>44350</v>
      </c>
      <c r="C248" t="s">
        <v>12</v>
      </c>
      <c r="D248">
        <v>5</v>
      </c>
      <c r="F248" s="7">
        <f t="shared" si="3"/>
        <v>-5</v>
      </c>
      <c r="G248" s="6" t="s">
        <v>13</v>
      </c>
      <c r="H248" s="6" t="str">
        <f>_xlfn.XLOOKUP(Transactions[[#This Row],[Sub-category]],TblDV[Sub-category],TblDV[Category],"")</f>
        <v>Dining Out</v>
      </c>
      <c r="I248" s="6" t="str">
        <f>_xlfn.XLOOKUP(Transactions[[#This Row],[Sub-category]],TblDV[Sub-category],TblDV[Category Type],"")</f>
        <v>Expense</v>
      </c>
    </row>
    <row r="249" spans="1:9">
      <c r="A249" t="s">
        <v>4</v>
      </c>
      <c r="B249" s="5">
        <v>44351</v>
      </c>
      <c r="C249" t="s">
        <v>12</v>
      </c>
      <c r="D249">
        <v>5</v>
      </c>
      <c r="F249" s="7">
        <f t="shared" si="3"/>
        <v>-5</v>
      </c>
      <c r="G249" s="6" t="s">
        <v>13</v>
      </c>
      <c r="H249" s="6" t="str">
        <f>_xlfn.XLOOKUP(Transactions[[#This Row],[Sub-category]],TblDV[Sub-category],TblDV[Category],"")</f>
        <v>Dining Out</v>
      </c>
      <c r="I249" s="6" t="str">
        <f>_xlfn.XLOOKUP(Transactions[[#This Row],[Sub-category]],TblDV[Sub-category],TblDV[Category Type],"")</f>
        <v>Expense</v>
      </c>
    </row>
    <row r="250" spans="1:9">
      <c r="A250" t="s">
        <v>4</v>
      </c>
      <c r="B250" s="5">
        <v>44352</v>
      </c>
      <c r="C250" t="s">
        <v>12</v>
      </c>
      <c r="D250">
        <v>5</v>
      </c>
      <c r="F250" s="7">
        <f t="shared" si="3"/>
        <v>-5</v>
      </c>
      <c r="G250" s="6" t="s">
        <v>13</v>
      </c>
      <c r="H250" s="6" t="str">
        <f>_xlfn.XLOOKUP(Transactions[[#This Row],[Sub-category]],TblDV[Sub-category],TblDV[Category],"")</f>
        <v>Dining Out</v>
      </c>
      <c r="I250" s="6" t="str">
        <f>_xlfn.XLOOKUP(Transactions[[#This Row],[Sub-category]],TblDV[Sub-category],TblDV[Category Type],"")</f>
        <v>Expense</v>
      </c>
    </row>
    <row r="251" spans="1:9">
      <c r="A251" t="s">
        <v>4</v>
      </c>
      <c r="B251" s="5">
        <v>44353</v>
      </c>
      <c r="C251" t="s">
        <v>12</v>
      </c>
      <c r="D251">
        <v>5</v>
      </c>
      <c r="F251" s="7">
        <f t="shared" si="3"/>
        <v>-5</v>
      </c>
      <c r="G251" s="6" t="s">
        <v>13</v>
      </c>
      <c r="H251" s="6" t="str">
        <f>_xlfn.XLOOKUP(Transactions[[#This Row],[Sub-category]],TblDV[Sub-category],TblDV[Category],"")</f>
        <v>Dining Out</v>
      </c>
      <c r="I251" s="6" t="str">
        <f>_xlfn.XLOOKUP(Transactions[[#This Row],[Sub-category]],TblDV[Sub-category],TblDV[Category Type],"")</f>
        <v>Expense</v>
      </c>
    </row>
    <row r="252" spans="1:9">
      <c r="A252" t="s">
        <v>4</v>
      </c>
      <c r="B252" s="5">
        <v>44353</v>
      </c>
      <c r="C252" t="s">
        <v>18</v>
      </c>
      <c r="D252">
        <v>119</v>
      </c>
      <c r="F252" s="7">
        <f t="shared" si="3"/>
        <v>-119</v>
      </c>
      <c r="G252" s="6" t="s">
        <v>19</v>
      </c>
      <c r="H252" s="6" t="str">
        <f>_xlfn.XLOOKUP(Transactions[[#This Row],[Sub-category]],TblDV[Sub-category],TblDV[Category],"")</f>
        <v>Living Expenses</v>
      </c>
      <c r="I252" s="6" t="str">
        <f>_xlfn.XLOOKUP(Transactions[[#This Row],[Sub-category]],TblDV[Sub-category],TblDV[Category Type],"")</f>
        <v>Expense</v>
      </c>
    </row>
    <row r="253" spans="1:9">
      <c r="A253" t="s">
        <v>9</v>
      </c>
      <c r="B253" s="5">
        <v>44356</v>
      </c>
      <c r="C253" t="s">
        <v>20</v>
      </c>
      <c r="D253">
        <v>55</v>
      </c>
      <c r="F253" s="7">
        <f t="shared" si="3"/>
        <v>-55</v>
      </c>
      <c r="G253" s="6" t="s">
        <v>21</v>
      </c>
      <c r="H253" s="6" t="str">
        <f>_xlfn.XLOOKUP(Transactions[[#This Row],[Sub-category]],TblDV[Sub-category],TblDV[Category],"")</f>
        <v>Living Expenses</v>
      </c>
      <c r="I253" s="6" t="str">
        <f>_xlfn.XLOOKUP(Transactions[[#This Row],[Sub-category]],TblDV[Sub-category],TblDV[Category Type],"")</f>
        <v>Expense</v>
      </c>
    </row>
    <row r="254" spans="1:9">
      <c r="A254" t="s">
        <v>4</v>
      </c>
      <c r="B254" s="5">
        <v>44356</v>
      </c>
      <c r="C254" t="s">
        <v>12</v>
      </c>
      <c r="D254">
        <v>5</v>
      </c>
      <c r="F254" s="7">
        <f t="shared" si="3"/>
        <v>-5</v>
      </c>
      <c r="G254" s="6" t="s">
        <v>13</v>
      </c>
      <c r="H254" s="6" t="str">
        <f>_xlfn.XLOOKUP(Transactions[[#This Row],[Sub-category]],TblDV[Sub-category],TblDV[Category],"")</f>
        <v>Dining Out</v>
      </c>
      <c r="I254" s="6" t="str">
        <f>_xlfn.XLOOKUP(Transactions[[#This Row],[Sub-category]],TblDV[Sub-category],TblDV[Category Type],"")</f>
        <v>Expense</v>
      </c>
    </row>
    <row r="255" spans="1:9">
      <c r="A255" t="s">
        <v>4</v>
      </c>
      <c r="B255" s="5">
        <v>44357</v>
      </c>
      <c r="C255" t="s">
        <v>12</v>
      </c>
      <c r="D255">
        <v>5</v>
      </c>
      <c r="F255" s="7">
        <f t="shared" si="3"/>
        <v>-5</v>
      </c>
      <c r="G255" s="6" t="s">
        <v>13</v>
      </c>
      <c r="H255" s="6" t="str">
        <f>_xlfn.XLOOKUP(Transactions[[#This Row],[Sub-category]],TblDV[Sub-category],TblDV[Category],"")</f>
        <v>Dining Out</v>
      </c>
      <c r="I255" s="6" t="str">
        <f>_xlfn.XLOOKUP(Transactions[[#This Row],[Sub-category]],TblDV[Sub-category],TblDV[Category Type],"")</f>
        <v>Expense</v>
      </c>
    </row>
    <row r="256" spans="1:9">
      <c r="A256" t="s">
        <v>4</v>
      </c>
      <c r="B256" s="5">
        <v>44358</v>
      </c>
      <c r="C256" t="s">
        <v>22</v>
      </c>
      <c r="D256">
        <v>82.1</v>
      </c>
      <c r="F256" s="7">
        <f t="shared" si="3"/>
        <v>-82.1</v>
      </c>
      <c r="G256" s="6" t="s">
        <v>23</v>
      </c>
      <c r="H256" s="6" t="str">
        <f>_xlfn.XLOOKUP(Transactions[[#This Row],[Sub-category]],TblDV[Sub-category],TblDV[Category],"")</f>
        <v>Transport</v>
      </c>
      <c r="I256" s="6" t="str">
        <f>_xlfn.XLOOKUP(Transactions[[#This Row],[Sub-category]],TblDV[Sub-category],TblDV[Category Type],"")</f>
        <v>Expense</v>
      </c>
    </row>
    <row r="257" spans="1:9">
      <c r="A257" t="s">
        <v>4</v>
      </c>
      <c r="B257" s="5">
        <v>44358</v>
      </c>
      <c r="C257" t="s">
        <v>12</v>
      </c>
      <c r="D257">
        <v>5</v>
      </c>
      <c r="F257" s="7">
        <f t="shared" si="3"/>
        <v>-5</v>
      </c>
      <c r="G257" s="6" t="s">
        <v>13</v>
      </c>
      <c r="H257" s="6" t="str">
        <f>_xlfn.XLOOKUP(Transactions[[#This Row],[Sub-category]],TblDV[Sub-category],TblDV[Category],"")</f>
        <v>Dining Out</v>
      </c>
      <c r="I257" s="6" t="str">
        <f>_xlfn.XLOOKUP(Transactions[[#This Row],[Sub-category]],TblDV[Sub-category],TblDV[Category Type],"")</f>
        <v>Expense</v>
      </c>
    </row>
    <row r="258" spans="1:9">
      <c r="A258" t="s">
        <v>4</v>
      </c>
      <c r="B258" s="5">
        <v>44359</v>
      </c>
      <c r="C258" t="s">
        <v>12</v>
      </c>
      <c r="D258">
        <v>5</v>
      </c>
      <c r="F258" s="7">
        <f t="shared" ref="F258:F321" si="4">E258-D258</f>
        <v>-5</v>
      </c>
      <c r="G258" s="6" t="s">
        <v>13</v>
      </c>
      <c r="H258" s="6" t="str">
        <f>_xlfn.XLOOKUP(Transactions[[#This Row],[Sub-category]],TblDV[Sub-category],TblDV[Category],"")</f>
        <v>Dining Out</v>
      </c>
      <c r="I258" s="6" t="str">
        <f>_xlfn.XLOOKUP(Transactions[[#This Row],[Sub-category]],TblDV[Sub-category],TblDV[Category Type],"")</f>
        <v>Expense</v>
      </c>
    </row>
    <row r="259" spans="1:9">
      <c r="A259" t="s">
        <v>4</v>
      </c>
      <c r="B259" s="5">
        <v>44360</v>
      </c>
      <c r="C259" t="s">
        <v>18</v>
      </c>
      <c r="D259">
        <v>140.2</v>
      </c>
      <c r="F259" s="7">
        <f t="shared" si="4"/>
        <v>-140.2</v>
      </c>
      <c r="G259" s="6" t="s">
        <v>19</v>
      </c>
      <c r="H259" s="6" t="str">
        <f>_xlfn.XLOOKUP(Transactions[[#This Row],[Sub-category]],TblDV[Sub-category],TblDV[Category],"")</f>
        <v>Living Expenses</v>
      </c>
      <c r="I259" s="6" t="str">
        <f>_xlfn.XLOOKUP(Transactions[[#This Row],[Sub-category]],TblDV[Sub-category],TblDV[Category Type],"")</f>
        <v>Expense</v>
      </c>
    </row>
    <row r="260" spans="1:9">
      <c r="A260" t="s">
        <v>4</v>
      </c>
      <c r="B260" s="5">
        <v>44360</v>
      </c>
      <c r="C260" t="s">
        <v>12</v>
      </c>
      <c r="D260">
        <v>5</v>
      </c>
      <c r="F260" s="7">
        <f t="shared" si="4"/>
        <v>-5</v>
      </c>
      <c r="G260" s="6" t="s">
        <v>13</v>
      </c>
      <c r="H260" s="6" t="str">
        <f>_xlfn.XLOOKUP(Transactions[[#This Row],[Sub-category]],TblDV[Sub-category],TblDV[Category],"")</f>
        <v>Dining Out</v>
      </c>
      <c r="I260" s="6" t="str">
        <f>_xlfn.XLOOKUP(Transactions[[#This Row],[Sub-category]],TblDV[Sub-category],TblDV[Category Type],"")</f>
        <v>Expense</v>
      </c>
    </row>
    <row r="261" spans="1:9">
      <c r="A261" t="s">
        <v>4</v>
      </c>
      <c r="B261" s="5">
        <v>44361</v>
      </c>
      <c r="C261" t="s">
        <v>12</v>
      </c>
      <c r="D261">
        <v>5</v>
      </c>
      <c r="F261" s="7">
        <f t="shared" si="4"/>
        <v>-5</v>
      </c>
      <c r="G261" s="6" t="s">
        <v>13</v>
      </c>
      <c r="H261" s="6" t="str">
        <f>_xlfn.XLOOKUP(Transactions[[#This Row],[Sub-category]],TblDV[Sub-category],TblDV[Category],"")</f>
        <v>Dining Out</v>
      </c>
      <c r="I261" s="6" t="str">
        <f>_xlfn.XLOOKUP(Transactions[[#This Row],[Sub-category]],TblDV[Sub-category],TblDV[Category Type],"")</f>
        <v>Expense</v>
      </c>
    </row>
    <row r="262" spans="1:9">
      <c r="A262" t="s">
        <v>4</v>
      </c>
      <c r="B262" s="5">
        <v>44361</v>
      </c>
      <c r="C262" t="s">
        <v>24</v>
      </c>
      <c r="D262">
        <v>44.9</v>
      </c>
      <c r="F262" s="7">
        <f t="shared" si="4"/>
        <v>-44.9</v>
      </c>
      <c r="G262" s="6" t="s">
        <v>25</v>
      </c>
      <c r="H262" s="6" t="str">
        <f>_xlfn.XLOOKUP(Transactions[[#This Row],[Sub-category]],TblDV[Sub-category],TblDV[Category],"")</f>
        <v>Discretionary</v>
      </c>
      <c r="I262" s="6" t="str">
        <f>_xlfn.XLOOKUP(Transactions[[#This Row],[Sub-category]],TblDV[Sub-category],TblDV[Category Type],"")</f>
        <v>Expense</v>
      </c>
    </row>
    <row r="263" spans="1:9">
      <c r="A263" t="s">
        <v>4</v>
      </c>
      <c r="B263" s="5">
        <v>44361</v>
      </c>
      <c r="C263" t="s">
        <v>26</v>
      </c>
      <c r="D263">
        <v>102.9</v>
      </c>
      <c r="F263" s="7">
        <f t="shared" si="4"/>
        <v>-102.9</v>
      </c>
      <c r="G263" s="6" t="s">
        <v>27</v>
      </c>
      <c r="H263" s="6" t="str">
        <f>_xlfn.XLOOKUP(Transactions[[#This Row],[Sub-category]],TblDV[Sub-category],TblDV[Category],"")</f>
        <v>Discretionary</v>
      </c>
      <c r="I263" s="6" t="str">
        <f>_xlfn.XLOOKUP(Transactions[[#This Row],[Sub-category]],TblDV[Sub-category],TblDV[Category Type],"")</f>
        <v>Expense</v>
      </c>
    </row>
    <row r="264" spans="1:9">
      <c r="A264" t="s">
        <v>4</v>
      </c>
      <c r="B264" s="5">
        <v>44361</v>
      </c>
      <c r="C264" t="s">
        <v>28</v>
      </c>
      <c r="D264">
        <v>56.9</v>
      </c>
      <c r="F264" s="7">
        <f t="shared" si="4"/>
        <v>-56.9</v>
      </c>
      <c r="G264" s="6" t="s">
        <v>29</v>
      </c>
      <c r="H264" s="6" t="str">
        <f>_xlfn.XLOOKUP(Transactions[[#This Row],[Sub-category]],TblDV[Sub-category],TblDV[Category],"")</f>
        <v>Dining Out</v>
      </c>
      <c r="I264" s="6" t="str">
        <f>_xlfn.XLOOKUP(Transactions[[#This Row],[Sub-category]],TblDV[Sub-category],TblDV[Category Type],"")</f>
        <v>Expense</v>
      </c>
    </row>
    <row r="265" spans="1:9">
      <c r="A265" t="s">
        <v>4</v>
      </c>
      <c r="B265" s="5">
        <v>44362</v>
      </c>
      <c r="C265" t="s">
        <v>30</v>
      </c>
      <c r="D265">
        <v>33.1</v>
      </c>
      <c r="F265" s="7">
        <f t="shared" si="4"/>
        <v>-33.1</v>
      </c>
      <c r="G265" s="6" t="s">
        <v>31</v>
      </c>
      <c r="H265" s="6" t="str">
        <f>_xlfn.XLOOKUP(Transactions[[#This Row],[Sub-category]],TblDV[Sub-category],TblDV[Category],"")</f>
        <v>Transport</v>
      </c>
      <c r="I265" s="6" t="str">
        <f>_xlfn.XLOOKUP(Transactions[[#This Row],[Sub-category]],TblDV[Sub-category],TblDV[Category Type],"")</f>
        <v>Expense</v>
      </c>
    </row>
    <row r="266" spans="1:9">
      <c r="A266" t="s">
        <v>9</v>
      </c>
      <c r="B266" s="5">
        <v>44363</v>
      </c>
      <c r="C266" t="s">
        <v>32</v>
      </c>
      <c r="D266">
        <v>30</v>
      </c>
      <c r="F266" s="7">
        <f t="shared" si="4"/>
        <v>-30</v>
      </c>
      <c r="G266" s="6" t="s">
        <v>33</v>
      </c>
      <c r="H266" s="6" t="str">
        <f>_xlfn.XLOOKUP(Transactions[[#This Row],[Sub-category]],TblDV[Sub-category],TblDV[Category],"")</f>
        <v>Discretionary</v>
      </c>
      <c r="I266" s="6" t="str">
        <f>_xlfn.XLOOKUP(Transactions[[#This Row],[Sub-category]],TblDV[Sub-category],TblDV[Category Type],"")</f>
        <v>Expense</v>
      </c>
    </row>
    <row r="267" spans="1:9">
      <c r="A267" t="s">
        <v>4</v>
      </c>
      <c r="B267" s="5">
        <v>44363</v>
      </c>
      <c r="C267" t="s">
        <v>12</v>
      </c>
      <c r="D267">
        <v>5</v>
      </c>
      <c r="F267" s="7">
        <f t="shared" si="4"/>
        <v>-5</v>
      </c>
      <c r="G267" s="6" t="s">
        <v>13</v>
      </c>
      <c r="H267" s="6" t="str">
        <f>_xlfn.XLOOKUP(Transactions[[#This Row],[Sub-category]],TblDV[Sub-category],TblDV[Category],"")</f>
        <v>Dining Out</v>
      </c>
      <c r="I267" s="6" t="str">
        <f>_xlfn.XLOOKUP(Transactions[[#This Row],[Sub-category]],TblDV[Sub-category],TblDV[Category Type],"")</f>
        <v>Expense</v>
      </c>
    </row>
    <row r="268" spans="1:9">
      <c r="A268" t="s">
        <v>4</v>
      </c>
      <c r="B268" s="5">
        <v>44364</v>
      </c>
      <c r="C268" t="s">
        <v>12</v>
      </c>
      <c r="D268">
        <v>5</v>
      </c>
      <c r="F268" s="7">
        <f t="shared" si="4"/>
        <v>-5</v>
      </c>
      <c r="G268" s="6" t="s">
        <v>13</v>
      </c>
      <c r="H268" s="6" t="str">
        <f>_xlfn.XLOOKUP(Transactions[[#This Row],[Sub-category]],TblDV[Sub-category],TblDV[Category],"")</f>
        <v>Dining Out</v>
      </c>
      <c r="I268" s="6" t="str">
        <f>_xlfn.XLOOKUP(Transactions[[#This Row],[Sub-category]],TblDV[Sub-category],TblDV[Category Type],"")</f>
        <v>Expense</v>
      </c>
    </row>
    <row r="269" spans="1:9">
      <c r="A269" t="s">
        <v>9</v>
      </c>
      <c r="B269" s="5">
        <v>44364</v>
      </c>
      <c r="C269" t="s">
        <v>36</v>
      </c>
      <c r="D269">
        <v>40</v>
      </c>
      <c r="F269" s="7">
        <f t="shared" si="4"/>
        <v>-40</v>
      </c>
      <c r="G269" s="6" t="s">
        <v>37</v>
      </c>
      <c r="H269" s="6" t="str">
        <f>_xlfn.XLOOKUP(Transactions[[#This Row],[Sub-category]],TblDV[Sub-category],TblDV[Category],"")</f>
        <v>Living Expenses</v>
      </c>
      <c r="I269" s="6" t="str">
        <f>_xlfn.XLOOKUP(Transactions[[#This Row],[Sub-category]],TblDV[Sub-category],TblDV[Category Type],"")</f>
        <v>Expense</v>
      </c>
    </row>
    <row r="270" spans="1:9">
      <c r="A270" t="s">
        <v>4</v>
      </c>
      <c r="B270" s="5">
        <v>44365</v>
      </c>
      <c r="C270" t="s">
        <v>38</v>
      </c>
      <c r="D270">
        <v>50.1</v>
      </c>
      <c r="F270" s="7">
        <f t="shared" si="4"/>
        <v>-50.1</v>
      </c>
      <c r="G270" s="6" t="s">
        <v>39</v>
      </c>
      <c r="H270" s="6" t="str">
        <f>_xlfn.XLOOKUP(Transactions[[#This Row],[Sub-category]],TblDV[Sub-category],TblDV[Category],"")</f>
        <v>Discretionary</v>
      </c>
      <c r="I270" s="6" t="str">
        <f>_xlfn.XLOOKUP(Transactions[[#This Row],[Sub-category]],TblDV[Sub-category],TblDV[Category Type],"")</f>
        <v>Expense</v>
      </c>
    </row>
    <row r="271" spans="1:9">
      <c r="A271" t="s">
        <v>4</v>
      </c>
      <c r="B271" s="5">
        <v>44365</v>
      </c>
      <c r="C271" t="s">
        <v>40</v>
      </c>
      <c r="D271">
        <v>35</v>
      </c>
      <c r="F271" s="7">
        <f t="shared" si="4"/>
        <v>-35</v>
      </c>
      <c r="G271" s="6" t="s">
        <v>25</v>
      </c>
      <c r="H271" s="6" t="str">
        <f>_xlfn.XLOOKUP(Transactions[[#This Row],[Sub-category]],TblDV[Sub-category],TblDV[Category],"")</f>
        <v>Discretionary</v>
      </c>
      <c r="I271" s="6" t="str">
        <f>_xlfn.XLOOKUP(Transactions[[#This Row],[Sub-category]],TblDV[Sub-category],TblDV[Category Type],"")</f>
        <v>Expense</v>
      </c>
    </row>
    <row r="272" spans="1:9">
      <c r="A272" t="s">
        <v>4</v>
      </c>
      <c r="B272" s="5">
        <v>44365</v>
      </c>
      <c r="C272" t="s">
        <v>12</v>
      </c>
      <c r="D272">
        <v>5</v>
      </c>
      <c r="F272" s="7">
        <f t="shared" si="4"/>
        <v>-5</v>
      </c>
      <c r="G272" s="6" t="s">
        <v>13</v>
      </c>
      <c r="H272" s="6" t="str">
        <f>_xlfn.XLOOKUP(Transactions[[#This Row],[Sub-category]],TblDV[Sub-category],TblDV[Category],"")</f>
        <v>Dining Out</v>
      </c>
      <c r="I272" s="6" t="str">
        <f>_xlfn.XLOOKUP(Transactions[[#This Row],[Sub-category]],TblDV[Sub-category],TblDV[Category Type],"")</f>
        <v>Expense</v>
      </c>
    </row>
    <row r="273" spans="1:9">
      <c r="A273" t="s">
        <v>4</v>
      </c>
      <c r="B273" s="5">
        <v>44366</v>
      </c>
      <c r="C273" t="s">
        <v>12</v>
      </c>
      <c r="D273">
        <v>5</v>
      </c>
      <c r="F273" s="7">
        <f t="shared" si="4"/>
        <v>-5</v>
      </c>
      <c r="G273" s="6" t="s">
        <v>13</v>
      </c>
      <c r="H273" s="6" t="str">
        <f>_xlfn.XLOOKUP(Transactions[[#This Row],[Sub-category]],TblDV[Sub-category],TblDV[Category],"")</f>
        <v>Dining Out</v>
      </c>
      <c r="I273" s="6" t="str">
        <f>_xlfn.XLOOKUP(Transactions[[#This Row],[Sub-category]],TblDV[Sub-category],TblDV[Category Type],"")</f>
        <v>Expense</v>
      </c>
    </row>
    <row r="274" spans="1:9">
      <c r="A274" t="s">
        <v>4</v>
      </c>
      <c r="B274" s="5">
        <v>44367</v>
      </c>
      <c r="C274" t="s">
        <v>12</v>
      </c>
      <c r="D274">
        <v>5</v>
      </c>
      <c r="F274" s="7">
        <f t="shared" si="4"/>
        <v>-5</v>
      </c>
      <c r="G274" s="6" t="s">
        <v>13</v>
      </c>
      <c r="H274" s="6" t="str">
        <f>_xlfn.XLOOKUP(Transactions[[#This Row],[Sub-category]],TblDV[Sub-category],TblDV[Category],"")</f>
        <v>Dining Out</v>
      </c>
      <c r="I274" s="6" t="str">
        <f>_xlfn.XLOOKUP(Transactions[[#This Row],[Sub-category]],TblDV[Sub-category],TblDV[Category Type],"")</f>
        <v>Expense</v>
      </c>
    </row>
    <row r="275" spans="1:9">
      <c r="A275" t="s">
        <v>4</v>
      </c>
      <c r="B275" s="5">
        <v>44367</v>
      </c>
      <c r="C275" t="s">
        <v>18</v>
      </c>
      <c r="D275">
        <v>234</v>
      </c>
      <c r="F275" s="7">
        <f t="shared" si="4"/>
        <v>-234</v>
      </c>
      <c r="G275" s="6" t="s">
        <v>19</v>
      </c>
      <c r="H275" s="6" t="str">
        <f>_xlfn.XLOOKUP(Transactions[[#This Row],[Sub-category]],TblDV[Sub-category],TblDV[Category],"")</f>
        <v>Living Expenses</v>
      </c>
      <c r="I275" s="6" t="str">
        <f>_xlfn.XLOOKUP(Transactions[[#This Row],[Sub-category]],TblDV[Sub-category],TblDV[Category Type],"")</f>
        <v>Expense</v>
      </c>
    </row>
    <row r="276" spans="1:9">
      <c r="A276" t="s">
        <v>4</v>
      </c>
      <c r="B276" s="5">
        <v>44368</v>
      </c>
      <c r="C276" t="s">
        <v>41</v>
      </c>
      <c r="D276">
        <v>42.1</v>
      </c>
      <c r="F276" s="7">
        <f t="shared" si="4"/>
        <v>-42.1</v>
      </c>
      <c r="G276" s="6" t="s">
        <v>29</v>
      </c>
      <c r="H276" s="6" t="str">
        <f>_xlfn.XLOOKUP(Transactions[[#This Row],[Sub-category]],TblDV[Sub-category],TblDV[Category],"")</f>
        <v>Dining Out</v>
      </c>
      <c r="I276" s="6" t="str">
        <f>_xlfn.XLOOKUP(Transactions[[#This Row],[Sub-category]],TblDV[Sub-category],TblDV[Category Type],"")</f>
        <v>Expense</v>
      </c>
    </row>
    <row r="277" spans="1:9">
      <c r="A277" t="s">
        <v>4</v>
      </c>
      <c r="B277" s="5">
        <v>44369</v>
      </c>
      <c r="C277" t="s">
        <v>42</v>
      </c>
      <c r="D277">
        <v>17.1</v>
      </c>
      <c r="F277" s="7">
        <f t="shared" si="4"/>
        <v>-17.1</v>
      </c>
      <c r="G277" s="6" t="s">
        <v>29</v>
      </c>
      <c r="H277" s="6" t="str">
        <f>_xlfn.XLOOKUP(Transactions[[#This Row],[Sub-category]],TblDV[Sub-category],TblDV[Category],"")</f>
        <v>Dining Out</v>
      </c>
      <c r="I277" s="6" t="str">
        <f>_xlfn.XLOOKUP(Transactions[[#This Row],[Sub-category]],TblDV[Sub-category],TblDV[Category Type],"")</f>
        <v>Expense</v>
      </c>
    </row>
    <row r="278" spans="1:9">
      <c r="A278" t="s">
        <v>9</v>
      </c>
      <c r="B278" s="5">
        <v>44370</v>
      </c>
      <c r="C278" t="s">
        <v>43</v>
      </c>
      <c r="D278">
        <v>55</v>
      </c>
      <c r="F278" s="7">
        <f t="shared" si="4"/>
        <v>-55</v>
      </c>
      <c r="G278" s="6" t="s">
        <v>44</v>
      </c>
      <c r="H278" s="6" t="str">
        <f>_xlfn.XLOOKUP(Transactions[[#This Row],[Sub-category]],TblDV[Sub-category],TblDV[Category],"")</f>
        <v>Charity</v>
      </c>
      <c r="I278" s="6" t="str">
        <f>_xlfn.XLOOKUP(Transactions[[#This Row],[Sub-category]],TblDV[Sub-category],TblDV[Category Type],"")</f>
        <v>Expense</v>
      </c>
    </row>
    <row r="279" spans="1:9">
      <c r="A279" t="s">
        <v>4</v>
      </c>
      <c r="B279" s="5">
        <v>44370</v>
      </c>
      <c r="C279" t="s">
        <v>22</v>
      </c>
      <c r="D279">
        <v>67.9</v>
      </c>
      <c r="F279" s="7">
        <f t="shared" si="4"/>
        <v>-67.9</v>
      </c>
      <c r="G279" s="6" t="s">
        <v>23</v>
      </c>
      <c r="H279" s="6" t="str">
        <f>_xlfn.XLOOKUP(Transactions[[#This Row],[Sub-category]],TblDV[Sub-category],TblDV[Category],"")</f>
        <v>Transport</v>
      </c>
      <c r="I279" s="6" t="str">
        <f>_xlfn.XLOOKUP(Transactions[[#This Row],[Sub-category]],TblDV[Sub-category],TblDV[Category Type],"")</f>
        <v>Expense</v>
      </c>
    </row>
    <row r="280" spans="1:9">
      <c r="A280" t="s">
        <v>4</v>
      </c>
      <c r="B280" s="5">
        <v>44370</v>
      </c>
      <c r="C280" t="s">
        <v>12</v>
      </c>
      <c r="D280">
        <v>5</v>
      </c>
      <c r="F280" s="7">
        <f t="shared" si="4"/>
        <v>-5</v>
      </c>
      <c r="G280" s="6" t="s">
        <v>13</v>
      </c>
      <c r="H280" s="6" t="str">
        <f>_xlfn.XLOOKUP(Transactions[[#This Row],[Sub-category]],TblDV[Sub-category],TblDV[Category],"")</f>
        <v>Dining Out</v>
      </c>
      <c r="I280" s="6" t="str">
        <f>_xlfn.XLOOKUP(Transactions[[#This Row],[Sub-category]],TblDV[Sub-category],TblDV[Category Type],"")</f>
        <v>Expense</v>
      </c>
    </row>
    <row r="281" spans="1:9">
      <c r="A281" t="s">
        <v>4</v>
      </c>
      <c r="B281" s="5">
        <v>44371</v>
      </c>
      <c r="C281" t="s">
        <v>12</v>
      </c>
      <c r="D281">
        <v>5</v>
      </c>
      <c r="F281" s="7">
        <f t="shared" si="4"/>
        <v>-5</v>
      </c>
      <c r="G281" s="6" t="s">
        <v>13</v>
      </c>
      <c r="H281" s="6" t="str">
        <f>_xlfn.XLOOKUP(Transactions[[#This Row],[Sub-category]],TblDV[Sub-category],TblDV[Category],"")</f>
        <v>Dining Out</v>
      </c>
      <c r="I281" s="6" t="str">
        <f>_xlfn.XLOOKUP(Transactions[[#This Row],[Sub-category]],TblDV[Sub-category],TblDV[Category Type],"")</f>
        <v>Expense</v>
      </c>
    </row>
    <row r="282" spans="1:9">
      <c r="A282" t="s">
        <v>4</v>
      </c>
      <c r="B282" s="5">
        <v>44372</v>
      </c>
      <c r="C282" t="s">
        <v>12</v>
      </c>
      <c r="D282">
        <v>5</v>
      </c>
      <c r="F282" s="7">
        <f t="shared" si="4"/>
        <v>-5</v>
      </c>
      <c r="G282" s="6" t="s">
        <v>13</v>
      </c>
      <c r="H282" s="6" t="str">
        <f>_xlfn.XLOOKUP(Transactions[[#This Row],[Sub-category]],TblDV[Sub-category],TblDV[Category],"")</f>
        <v>Dining Out</v>
      </c>
      <c r="I282" s="6" t="str">
        <f>_xlfn.XLOOKUP(Transactions[[#This Row],[Sub-category]],TblDV[Sub-category],TblDV[Category Type],"")</f>
        <v>Expense</v>
      </c>
    </row>
    <row r="283" spans="1:9">
      <c r="A283" t="s">
        <v>4</v>
      </c>
      <c r="B283" s="5">
        <v>44373</v>
      </c>
      <c r="C283" t="s">
        <v>12</v>
      </c>
      <c r="D283">
        <v>5</v>
      </c>
      <c r="F283" s="7">
        <f t="shared" si="4"/>
        <v>-5</v>
      </c>
      <c r="G283" s="6" t="s">
        <v>13</v>
      </c>
      <c r="H283" s="6" t="str">
        <f>_xlfn.XLOOKUP(Transactions[[#This Row],[Sub-category]],TblDV[Sub-category],TblDV[Category],"")</f>
        <v>Dining Out</v>
      </c>
      <c r="I283" s="6" t="str">
        <f>_xlfn.XLOOKUP(Transactions[[#This Row],[Sub-category]],TblDV[Sub-category],TblDV[Category Type],"")</f>
        <v>Expense</v>
      </c>
    </row>
    <row r="284" spans="1:9">
      <c r="A284" t="s">
        <v>4</v>
      </c>
      <c r="B284" s="5">
        <v>44374</v>
      </c>
      <c r="C284" t="s">
        <v>12</v>
      </c>
      <c r="D284">
        <v>5</v>
      </c>
      <c r="F284" s="7">
        <f t="shared" si="4"/>
        <v>-5</v>
      </c>
      <c r="G284" s="6" t="s">
        <v>13</v>
      </c>
      <c r="H284" s="6" t="str">
        <f>_xlfn.XLOOKUP(Transactions[[#This Row],[Sub-category]],TblDV[Sub-category],TblDV[Category],"")</f>
        <v>Dining Out</v>
      </c>
      <c r="I284" s="6" t="str">
        <f>_xlfn.XLOOKUP(Transactions[[#This Row],[Sub-category]],TblDV[Sub-category],TblDV[Category Type],"")</f>
        <v>Expense</v>
      </c>
    </row>
    <row r="285" spans="1:9">
      <c r="A285" t="s">
        <v>4</v>
      </c>
      <c r="B285" s="5">
        <v>44374</v>
      </c>
      <c r="C285" t="s">
        <v>18</v>
      </c>
      <c r="D285">
        <v>166.9</v>
      </c>
      <c r="F285" s="7">
        <f t="shared" si="4"/>
        <v>-166.9</v>
      </c>
      <c r="G285" s="6" t="s">
        <v>19</v>
      </c>
      <c r="H285" s="6" t="str">
        <f>_xlfn.XLOOKUP(Transactions[[#This Row],[Sub-category]],TblDV[Sub-category],TblDV[Category],"")</f>
        <v>Living Expenses</v>
      </c>
      <c r="I285" s="6" t="str">
        <f>_xlfn.XLOOKUP(Transactions[[#This Row],[Sub-category]],TblDV[Sub-category],TblDV[Category Type],"")</f>
        <v>Expense</v>
      </c>
    </row>
    <row r="286" spans="1:9">
      <c r="A286" t="s">
        <v>4</v>
      </c>
      <c r="B286" s="5">
        <v>44375</v>
      </c>
      <c r="C286" t="s">
        <v>45</v>
      </c>
      <c r="D286">
        <v>129.9</v>
      </c>
      <c r="F286" s="7">
        <f t="shared" si="4"/>
        <v>-129.9</v>
      </c>
      <c r="G286" s="6" t="s">
        <v>27</v>
      </c>
      <c r="H286" s="6" t="str">
        <f>_xlfn.XLOOKUP(Transactions[[#This Row],[Sub-category]],TblDV[Sub-category],TblDV[Category],"")</f>
        <v>Discretionary</v>
      </c>
      <c r="I286" s="6" t="str">
        <f>_xlfn.XLOOKUP(Transactions[[#This Row],[Sub-category]],TblDV[Sub-category],TblDV[Category Type],"")</f>
        <v>Expense</v>
      </c>
    </row>
    <row r="287" spans="1:9">
      <c r="A287" t="s">
        <v>4</v>
      </c>
      <c r="B287" s="5">
        <v>44375</v>
      </c>
      <c r="C287" t="s">
        <v>46</v>
      </c>
      <c r="D287">
        <v>180.3</v>
      </c>
      <c r="F287" s="7">
        <f t="shared" si="4"/>
        <v>-180.3</v>
      </c>
      <c r="G287" s="6" t="s">
        <v>25</v>
      </c>
      <c r="H287" s="6" t="str">
        <f>_xlfn.XLOOKUP(Transactions[[#This Row],[Sub-category]],TblDV[Sub-category],TblDV[Category],"")</f>
        <v>Discretionary</v>
      </c>
      <c r="I287" s="6" t="str">
        <f>_xlfn.XLOOKUP(Transactions[[#This Row],[Sub-category]],TblDV[Sub-category],TblDV[Category Type],"")</f>
        <v>Expense</v>
      </c>
    </row>
    <row r="288" spans="1:9">
      <c r="A288" t="s">
        <v>4</v>
      </c>
      <c r="B288" s="5">
        <v>44376</v>
      </c>
      <c r="C288" t="s">
        <v>26</v>
      </c>
      <c r="D288">
        <v>150.1</v>
      </c>
      <c r="F288" s="7">
        <f t="shared" si="4"/>
        <v>-150.1</v>
      </c>
      <c r="G288" s="6" t="s">
        <v>27</v>
      </c>
      <c r="H288" s="6" t="str">
        <f>_xlfn.XLOOKUP(Transactions[[#This Row],[Sub-category]],TblDV[Sub-category],TblDV[Category],"")</f>
        <v>Discretionary</v>
      </c>
      <c r="I288" s="6" t="str">
        <f>_xlfn.XLOOKUP(Transactions[[#This Row],[Sub-category]],TblDV[Sub-category],TblDV[Category Type],"")</f>
        <v>Expense</v>
      </c>
    </row>
    <row r="289" spans="1:9">
      <c r="A289" t="s">
        <v>4</v>
      </c>
      <c r="B289" s="5">
        <v>44376</v>
      </c>
      <c r="C289" t="s">
        <v>30</v>
      </c>
      <c r="D289">
        <v>28.2</v>
      </c>
      <c r="F289" s="7">
        <f t="shared" si="4"/>
        <v>-28.2</v>
      </c>
      <c r="G289" s="6" t="s">
        <v>31</v>
      </c>
      <c r="H289" s="6" t="str">
        <f>_xlfn.XLOOKUP(Transactions[[#This Row],[Sub-category]],TblDV[Sub-category],TblDV[Category],"")</f>
        <v>Transport</v>
      </c>
      <c r="I289" s="6" t="str">
        <f>_xlfn.XLOOKUP(Transactions[[#This Row],[Sub-category]],TblDV[Sub-category],TblDV[Category Type],"")</f>
        <v>Expense</v>
      </c>
    </row>
    <row r="290" spans="1:9">
      <c r="A290" t="s">
        <v>4</v>
      </c>
      <c r="B290" s="5">
        <v>44376</v>
      </c>
      <c r="C290" t="s">
        <v>51</v>
      </c>
      <c r="D290">
        <v>15</v>
      </c>
      <c r="F290" s="7">
        <f t="shared" si="4"/>
        <v>-15</v>
      </c>
      <c r="G290" s="6" t="s">
        <v>29</v>
      </c>
      <c r="H290" s="6" t="str">
        <f>_xlfn.XLOOKUP(Transactions[[#This Row],[Sub-category]],TblDV[Sub-category],TblDV[Category],"")</f>
        <v>Dining Out</v>
      </c>
      <c r="I290" s="6" t="str">
        <f>_xlfn.XLOOKUP(Transactions[[#This Row],[Sub-category]],TblDV[Sub-category],TblDV[Category Type],"")</f>
        <v>Expense</v>
      </c>
    </row>
    <row r="291" spans="1:9">
      <c r="A291" t="s">
        <v>4</v>
      </c>
      <c r="B291" s="5">
        <v>44377</v>
      </c>
      <c r="C291" t="s">
        <v>12</v>
      </c>
      <c r="D291">
        <v>5</v>
      </c>
      <c r="F291" s="7">
        <f t="shared" si="4"/>
        <v>-5</v>
      </c>
      <c r="G291" s="6" t="s">
        <v>13</v>
      </c>
      <c r="H291" s="6" t="str">
        <f>_xlfn.XLOOKUP(Transactions[[#This Row],[Sub-category]],TblDV[Sub-category],TblDV[Category],"")</f>
        <v>Dining Out</v>
      </c>
      <c r="I291" s="6" t="str">
        <f>_xlfn.XLOOKUP(Transactions[[#This Row],[Sub-category]],TblDV[Sub-category],TblDV[Category Type],"")</f>
        <v>Expense</v>
      </c>
    </row>
    <row r="292" spans="1:9">
      <c r="A292" t="s">
        <v>4</v>
      </c>
      <c r="B292" s="5">
        <v>44378</v>
      </c>
      <c r="C292" t="s">
        <v>12</v>
      </c>
      <c r="D292">
        <v>5</v>
      </c>
      <c r="F292" s="7">
        <f t="shared" si="4"/>
        <v>-5</v>
      </c>
      <c r="G292" s="6" t="s">
        <v>13</v>
      </c>
      <c r="H292" s="6" t="str">
        <f>_xlfn.XLOOKUP(Transactions[[#This Row],[Sub-category]],TblDV[Sub-category],TblDV[Category],"")</f>
        <v>Dining Out</v>
      </c>
      <c r="I292" s="6" t="str">
        <f>_xlfn.XLOOKUP(Transactions[[#This Row],[Sub-category]],TblDV[Sub-category],TblDV[Category Type],"")</f>
        <v>Expense</v>
      </c>
    </row>
    <row r="293" spans="1:9">
      <c r="A293" t="s">
        <v>9</v>
      </c>
      <c r="B293" s="5">
        <v>44379</v>
      </c>
      <c r="C293" t="s">
        <v>10</v>
      </c>
      <c r="E293">
        <v>4000</v>
      </c>
      <c r="F293" s="7">
        <f t="shared" si="4"/>
        <v>4000</v>
      </c>
      <c r="G293" s="6" t="s">
        <v>11</v>
      </c>
      <c r="H293" s="6" t="str">
        <f>_xlfn.XLOOKUP(Transactions[[#This Row],[Sub-category]],TblDV[Sub-category],TblDV[Category],"")</f>
        <v>Salary</v>
      </c>
      <c r="I293" s="6" t="str">
        <f>_xlfn.XLOOKUP(Transactions[[#This Row],[Sub-category]],TblDV[Sub-category],TblDV[Category Type],"")</f>
        <v>Income</v>
      </c>
    </row>
    <row r="294" spans="1:9">
      <c r="A294" t="s">
        <v>4</v>
      </c>
      <c r="B294" s="5">
        <v>44380</v>
      </c>
      <c r="C294" t="s">
        <v>12</v>
      </c>
      <c r="D294">
        <v>5</v>
      </c>
      <c r="F294" s="7">
        <f t="shared" si="4"/>
        <v>-5</v>
      </c>
      <c r="G294" s="6" t="s">
        <v>13</v>
      </c>
      <c r="H294" s="6" t="str">
        <f>_xlfn.XLOOKUP(Transactions[[#This Row],[Sub-category]],TblDV[Sub-category],TblDV[Category],"")</f>
        <v>Dining Out</v>
      </c>
      <c r="I294" s="6" t="str">
        <f>_xlfn.XLOOKUP(Transactions[[#This Row],[Sub-category]],TblDV[Sub-category],TblDV[Category Type],"")</f>
        <v>Expense</v>
      </c>
    </row>
    <row r="295" spans="1:9">
      <c r="A295" t="s">
        <v>9</v>
      </c>
      <c r="B295" s="5">
        <v>44382</v>
      </c>
      <c r="C295" t="s">
        <v>14</v>
      </c>
      <c r="D295">
        <v>900</v>
      </c>
      <c r="F295" s="7">
        <f t="shared" si="4"/>
        <v>-900</v>
      </c>
      <c r="G295" s="6" t="s">
        <v>15</v>
      </c>
      <c r="H295" s="6" t="str">
        <f>_xlfn.XLOOKUP(Transactions[[#This Row],[Sub-category]],TblDV[Sub-category],TblDV[Category],"")</f>
        <v>Living Expenses</v>
      </c>
      <c r="I295" s="6" t="str">
        <f>_xlfn.XLOOKUP(Transactions[[#This Row],[Sub-category]],TblDV[Sub-category],TblDV[Category Type],"")</f>
        <v>Expense</v>
      </c>
    </row>
    <row r="296" spans="1:9">
      <c r="A296" t="s">
        <v>9</v>
      </c>
      <c r="B296" s="5">
        <v>44382</v>
      </c>
      <c r="C296" t="s">
        <v>16</v>
      </c>
      <c r="D296">
        <v>150</v>
      </c>
      <c r="F296" s="7">
        <f t="shared" si="4"/>
        <v>-150</v>
      </c>
      <c r="G296" s="6" t="s">
        <v>17</v>
      </c>
      <c r="H296" s="6" t="str">
        <f>_xlfn.XLOOKUP(Transactions[[#This Row],[Sub-category]],TblDV[Sub-category],TblDV[Category],"")</f>
        <v>Transport</v>
      </c>
      <c r="I296" s="6" t="str">
        <f>_xlfn.XLOOKUP(Transactions[[#This Row],[Sub-category]],TblDV[Sub-category],TblDV[Category Type],"")</f>
        <v>Expense</v>
      </c>
    </row>
    <row r="297" spans="1:9">
      <c r="A297" t="s">
        <v>4</v>
      </c>
      <c r="B297" s="5">
        <v>44382</v>
      </c>
      <c r="C297" t="s">
        <v>55</v>
      </c>
      <c r="D297">
        <v>15</v>
      </c>
      <c r="F297" s="7">
        <f t="shared" si="4"/>
        <v>-15</v>
      </c>
      <c r="G297" s="6" t="s">
        <v>29</v>
      </c>
      <c r="H297" s="6" t="str">
        <f>_xlfn.XLOOKUP(Transactions[[#This Row],[Sub-category]],TblDV[Sub-category],TblDV[Category],"")</f>
        <v>Dining Out</v>
      </c>
      <c r="I297" s="6" t="str">
        <f>_xlfn.XLOOKUP(Transactions[[#This Row],[Sub-category]],TblDV[Sub-category],TblDV[Category Type],"")</f>
        <v>Expense</v>
      </c>
    </row>
    <row r="298" spans="1:9">
      <c r="A298" t="s">
        <v>4</v>
      </c>
      <c r="B298" s="5">
        <v>44382</v>
      </c>
      <c r="C298" t="s">
        <v>12</v>
      </c>
      <c r="D298">
        <v>5</v>
      </c>
      <c r="F298" s="7">
        <f t="shared" si="4"/>
        <v>-5</v>
      </c>
      <c r="G298" s="6" t="s">
        <v>13</v>
      </c>
      <c r="H298" s="6" t="str">
        <f>_xlfn.XLOOKUP(Transactions[[#This Row],[Sub-category]],TblDV[Sub-category],TblDV[Category],"")</f>
        <v>Dining Out</v>
      </c>
      <c r="I298" s="6" t="str">
        <f>_xlfn.XLOOKUP(Transactions[[#This Row],[Sub-category]],TblDV[Sub-category],TblDV[Category Type],"")</f>
        <v>Expense</v>
      </c>
    </row>
    <row r="299" spans="1:9">
      <c r="A299" t="s">
        <v>4</v>
      </c>
      <c r="B299" s="5">
        <v>44383</v>
      </c>
      <c r="C299" t="s">
        <v>12</v>
      </c>
      <c r="D299">
        <v>5</v>
      </c>
      <c r="F299" s="7">
        <f t="shared" si="4"/>
        <v>-5</v>
      </c>
      <c r="G299" s="6" t="s">
        <v>13</v>
      </c>
      <c r="H299" s="6" t="str">
        <f>_xlfn.XLOOKUP(Transactions[[#This Row],[Sub-category]],TblDV[Sub-category],TblDV[Category],"")</f>
        <v>Dining Out</v>
      </c>
      <c r="I299" s="6" t="str">
        <f>_xlfn.XLOOKUP(Transactions[[#This Row],[Sub-category]],TblDV[Sub-category],TblDV[Category Type],"")</f>
        <v>Expense</v>
      </c>
    </row>
    <row r="300" spans="1:9">
      <c r="A300" t="s">
        <v>4</v>
      </c>
      <c r="B300" s="5">
        <v>44384</v>
      </c>
      <c r="C300" t="s">
        <v>12</v>
      </c>
      <c r="D300">
        <v>5</v>
      </c>
      <c r="F300" s="7">
        <f t="shared" si="4"/>
        <v>-5</v>
      </c>
      <c r="G300" s="6" t="s">
        <v>13</v>
      </c>
      <c r="H300" s="6" t="str">
        <f>_xlfn.XLOOKUP(Transactions[[#This Row],[Sub-category]],TblDV[Sub-category],TblDV[Category],"")</f>
        <v>Dining Out</v>
      </c>
      <c r="I300" s="6" t="str">
        <f>_xlfn.XLOOKUP(Transactions[[#This Row],[Sub-category]],TblDV[Sub-category],TblDV[Category Type],"")</f>
        <v>Expense</v>
      </c>
    </row>
    <row r="301" spans="1:9">
      <c r="A301" t="s">
        <v>4</v>
      </c>
      <c r="B301" s="5">
        <v>44384</v>
      </c>
      <c r="C301" t="s">
        <v>18</v>
      </c>
      <c r="D301">
        <v>180</v>
      </c>
      <c r="F301" s="7">
        <f t="shared" si="4"/>
        <v>-180</v>
      </c>
      <c r="G301" s="6" t="s">
        <v>19</v>
      </c>
      <c r="H301" s="6" t="str">
        <f>_xlfn.XLOOKUP(Transactions[[#This Row],[Sub-category]],TblDV[Sub-category],TblDV[Category],"")</f>
        <v>Living Expenses</v>
      </c>
      <c r="I301" s="6" t="str">
        <f>_xlfn.XLOOKUP(Transactions[[#This Row],[Sub-category]],TblDV[Sub-category],TblDV[Category Type],"")</f>
        <v>Expense</v>
      </c>
    </row>
    <row r="302" spans="1:9">
      <c r="A302" t="s">
        <v>9</v>
      </c>
      <c r="B302" s="5">
        <v>44387</v>
      </c>
      <c r="C302" t="s">
        <v>20</v>
      </c>
      <c r="D302">
        <v>56.1</v>
      </c>
      <c r="F302" s="7">
        <f t="shared" si="4"/>
        <v>-56.1</v>
      </c>
      <c r="G302" s="6" t="s">
        <v>21</v>
      </c>
      <c r="H302" s="6" t="str">
        <f>_xlfn.XLOOKUP(Transactions[[#This Row],[Sub-category]],TblDV[Sub-category],TblDV[Category],"")</f>
        <v>Living Expenses</v>
      </c>
      <c r="I302" s="6" t="str">
        <f>_xlfn.XLOOKUP(Transactions[[#This Row],[Sub-category]],TblDV[Sub-category],TblDV[Category Type],"")</f>
        <v>Expense</v>
      </c>
    </row>
    <row r="303" spans="1:9">
      <c r="A303" t="s">
        <v>4</v>
      </c>
      <c r="B303" s="5">
        <v>44387</v>
      </c>
      <c r="C303" t="s">
        <v>12</v>
      </c>
      <c r="D303">
        <v>5</v>
      </c>
      <c r="F303" s="7">
        <f t="shared" si="4"/>
        <v>-5</v>
      </c>
      <c r="G303" s="6" t="s">
        <v>13</v>
      </c>
      <c r="H303" s="6" t="str">
        <f>_xlfn.XLOOKUP(Transactions[[#This Row],[Sub-category]],TblDV[Sub-category],TblDV[Category],"")</f>
        <v>Dining Out</v>
      </c>
      <c r="I303" s="6" t="str">
        <f>_xlfn.XLOOKUP(Transactions[[#This Row],[Sub-category]],TblDV[Sub-category],TblDV[Category Type],"")</f>
        <v>Expense</v>
      </c>
    </row>
    <row r="304" spans="1:9">
      <c r="A304" t="s">
        <v>4</v>
      </c>
      <c r="B304" s="5">
        <v>44388</v>
      </c>
      <c r="C304" t="s">
        <v>12</v>
      </c>
      <c r="D304">
        <v>5</v>
      </c>
      <c r="F304" s="7">
        <f t="shared" si="4"/>
        <v>-5</v>
      </c>
      <c r="G304" s="6" t="s">
        <v>13</v>
      </c>
      <c r="H304" s="6" t="str">
        <f>_xlfn.XLOOKUP(Transactions[[#This Row],[Sub-category]],TblDV[Sub-category],TblDV[Category],"")</f>
        <v>Dining Out</v>
      </c>
      <c r="I304" s="6" t="str">
        <f>_xlfn.XLOOKUP(Transactions[[#This Row],[Sub-category]],TblDV[Sub-category],TblDV[Category Type],"")</f>
        <v>Expense</v>
      </c>
    </row>
    <row r="305" spans="1:9">
      <c r="A305" t="s">
        <v>4</v>
      </c>
      <c r="B305" s="5">
        <v>44389</v>
      </c>
      <c r="C305" t="s">
        <v>22</v>
      </c>
      <c r="D305">
        <v>83.1</v>
      </c>
      <c r="F305" s="7">
        <f t="shared" si="4"/>
        <v>-83.1</v>
      </c>
      <c r="G305" s="6" t="s">
        <v>23</v>
      </c>
      <c r="H305" s="6" t="str">
        <f>_xlfn.XLOOKUP(Transactions[[#This Row],[Sub-category]],TblDV[Sub-category],TblDV[Category],"")</f>
        <v>Transport</v>
      </c>
      <c r="I305" s="6" t="str">
        <f>_xlfn.XLOOKUP(Transactions[[#This Row],[Sub-category]],TblDV[Sub-category],TblDV[Category Type],"")</f>
        <v>Expense</v>
      </c>
    </row>
    <row r="306" spans="1:9">
      <c r="A306" t="s">
        <v>4</v>
      </c>
      <c r="B306" s="5">
        <v>44389</v>
      </c>
      <c r="C306" t="s">
        <v>12</v>
      </c>
      <c r="D306">
        <v>5</v>
      </c>
      <c r="F306" s="7">
        <f t="shared" si="4"/>
        <v>-5</v>
      </c>
      <c r="G306" s="6" t="s">
        <v>13</v>
      </c>
      <c r="H306" s="6" t="str">
        <f>_xlfn.XLOOKUP(Transactions[[#This Row],[Sub-category]],TblDV[Sub-category],TblDV[Category],"")</f>
        <v>Dining Out</v>
      </c>
      <c r="I306" s="6" t="str">
        <f>_xlfn.XLOOKUP(Transactions[[#This Row],[Sub-category]],TblDV[Sub-category],TblDV[Category Type],"")</f>
        <v>Expense</v>
      </c>
    </row>
    <row r="307" spans="1:9">
      <c r="A307" t="s">
        <v>4</v>
      </c>
      <c r="B307" s="5">
        <v>44390</v>
      </c>
      <c r="C307" t="s">
        <v>12</v>
      </c>
      <c r="D307">
        <v>5</v>
      </c>
      <c r="F307" s="7">
        <f t="shared" si="4"/>
        <v>-5</v>
      </c>
      <c r="G307" s="6" t="s">
        <v>13</v>
      </c>
      <c r="H307" s="6" t="str">
        <f>_xlfn.XLOOKUP(Transactions[[#This Row],[Sub-category]],TblDV[Sub-category],TblDV[Category],"")</f>
        <v>Dining Out</v>
      </c>
      <c r="I307" s="6" t="str">
        <f>_xlfn.XLOOKUP(Transactions[[#This Row],[Sub-category]],TblDV[Sub-category],TblDV[Category Type],"")</f>
        <v>Expense</v>
      </c>
    </row>
    <row r="308" spans="1:9">
      <c r="A308" t="s">
        <v>4</v>
      </c>
      <c r="B308" s="5">
        <v>44391</v>
      </c>
      <c r="C308" t="s">
        <v>18</v>
      </c>
      <c r="D308">
        <v>141.1</v>
      </c>
      <c r="F308" s="7">
        <f t="shared" si="4"/>
        <v>-141.1</v>
      </c>
      <c r="G308" s="6" t="s">
        <v>19</v>
      </c>
      <c r="H308" s="6" t="str">
        <f>_xlfn.XLOOKUP(Transactions[[#This Row],[Sub-category]],TblDV[Sub-category],TblDV[Category],"")</f>
        <v>Living Expenses</v>
      </c>
      <c r="I308" s="6" t="str">
        <f>_xlfn.XLOOKUP(Transactions[[#This Row],[Sub-category]],TblDV[Sub-category],TblDV[Category Type],"")</f>
        <v>Expense</v>
      </c>
    </row>
    <row r="309" spans="1:9">
      <c r="A309" t="s">
        <v>4</v>
      </c>
      <c r="B309" s="5">
        <v>44391</v>
      </c>
      <c r="C309" t="s">
        <v>12</v>
      </c>
      <c r="D309">
        <v>5</v>
      </c>
      <c r="F309" s="7">
        <f t="shared" si="4"/>
        <v>-5</v>
      </c>
      <c r="G309" s="6" t="s">
        <v>13</v>
      </c>
      <c r="H309" s="6" t="str">
        <f>_xlfn.XLOOKUP(Transactions[[#This Row],[Sub-category]],TblDV[Sub-category],TblDV[Category],"")</f>
        <v>Dining Out</v>
      </c>
      <c r="I309" s="6" t="str">
        <f>_xlfn.XLOOKUP(Transactions[[#This Row],[Sub-category]],TblDV[Sub-category],TblDV[Category Type],"")</f>
        <v>Expense</v>
      </c>
    </row>
    <row r="310" spans="1:9">
      <c r="A310" t="s">
        <v>4</v>
      </c>
      <c r="B310" s="5">
        <v>44392</v>
      </c>
      <c r="C310" t="s">
        <v>12</v>
      </c>
      <c r="D310">
        <v>5</v>
      </c>
      <c r="F310" s="7">
        <f t="shared" si="4"/>
        <v>-5</v>
      </c>
      <c r="G310" s="6" t="s">
        <v>13</v>
      </c>
      <c r="H310" s="6" t="str">
        <f>_xlfn.XLOOKUP(Transactions[[#This Row],[Sub-category]],TblDV[Sub-category],TblDV[Category],"")</f>
        <v>Dining Out</v>
      </c>
      <c r="I310" s="6" t="str">
        <f>_xlfn.XLOOKUP(Transactions[[#This Row],[Sub-category]],TblDV[Sub-category],TblDV[Category Type],"")</f>
        <v>Expense</v>
      </c>
    </row>
    <row r="311" spans="1:9">
      <c r="A311" t="s">
        <v>4</v>
      </c>
      <c r="B311" s="5">
        <v>44392</v>
      </c>
      <c r="C311" t="s">
        <v>24</v>
      </c>
      <c r="D311">
        <v>45.8</v>
      </c>
      <c r="F311" s="7">
        <f t="shared" si="4"/>
        <v>-45.8</v>
      </c>
      <c r="G311" s="6" t="s">
        <v>25</v>
      </c>
      <c r="H311" s="6" t="str">
        <f>_xlfn.XLOOKUP(Transactions[[#This Row],[Sub-category]],TblDV[Sub-category],TblDV[Category],"")</f>
        <v>Discretionary</v>
      </c>
      <c r="I311" s="6" t="str">
        <f>_xlfn.XLOOKUP(Transactions[[#This Row],[Sub-category]],TblDV[Sub-category],TblDV[Category Type],"")</f>
        <v>Expense</v>
      </c>
    </row>
    <row r="312" spans="1:9">
      <c r="A312" t="s">
        <v>4</v>
      </c>
      <c r="B312" s="5">
        <v>44392</v>
      </c>
      <c r="C312" t="s">
        <v>26</v>
      </c>
      <c r="D312">
        <v>103.8</v>
      </c>
      <c r="F312" s="7">
        <f t="shared" si="4"/>
        <v>-103.8</v>
      </c>
      <c r="G312" s="6" t="s">
        <v>27</v>
      </c>
      <c r="H312" s="6" t="str">
        <f>_xlfn.XLOOKUP(Transactions[[#This Row],[Sub-category]],TblDV[Sub-category],TblDV[Category],"")</f>
        <v>Discretionary</v>
      </c>
      <c r="I312" s="6" t="str">
        <f>_xlfn.XLOOKUP(Transactions[[#This Row],[Sub-category]],TblDV[Sub-category],TblDV[Category Type],"")</f>
        <v>Expense</v>
      </c>
    </row>
    <row r="313" spans="1:9">
      <c r="A313" t="s">
        <v>4</v>
      </c>
      <c r="B313" s="5">
        <v>44392</v>
      </c>
      <c r="C313" t="s">
        <v>28</v>
      </c>
      <c r="D313">
        <v>58</v>
      </c>
      <c r="F313" s="7">
        <f t="shared" si="4"/>
        <v>-58</v>
      </c>
      <c r="G313" s="6" t="s">
        <v>29</v>
      </c>
      <c r="H313" s="6" t="str">
        <f>_xlfn.XLOOKUP(Transactions[[#This Row],[Sub-category]],TblDV[Sub-category],TblDV[Category],"")</f>
        <v>Dining Out</v>
      </c>
      <c r="I313" s="6" t="str">
        <f>_xlfn.XLOOKUP(Transactions[[#This Row],[Sub-category]],TblDV[Sub-category],TblDV[Category Type],"")</f>
        <v>Expense</v>
      </c>
    </row>
    <row r="314" spans="1:9">
      <c r="A314" t="s">
        <v>4</v>
      </c>
      <c r="B314" s="5">
        <v>44393</v>
      </c>
      <c r="C314" t="s">
        <v>30</v>
      </c>
      <c r="D314">
        <v>34.2</v>
      </c>
      <c r="F314" s="7">
        <f t="shared" si="4"/>
        <v>-34.2</v>
      </c>
      <c r="G314" s="6" t="s">
        <v>31</v>
      </c>
      <c r="H314" s="6" t="str">
        <f>_xlfn.XLOOKUP(Transactions[[#This Row],[Sub-category]],TblDV[Sub-category],TblDV[Category],"")</f>
        <v>Transport</v>
      </c>
      <c r="I314" s="6" t="str">
        <f>_xlfn.XLOOKUP(Transactions[[#This Row],[Sub-category]],TblDV[Sub-category],TblDV[Category Type],"")</f>
        <v>Expense</v>
      </c>
    </row>
    <row r="315" spans="1:9">
      <c r="A315" t="s">
        <v>9</v>
      </c>
      <c r="B315" s="5">
        <v>44394</v>
      </c>
      <c r="C315" t="s">
        <v>32</v>
      </c>
      <c r="D315">
        <v>30</v>
      </c>
      <c r="F315" s="7">
        <f t="shared" si="4"/>
        <v>-30</v>
      </c>
      <c r="G315" s="6" t="s">
        <v>33</v>
      </c>
      <c r="H315" s="6" t="str">
        <f>_xlfn.XLOOKUP(Transactions[[#This Row],[Sub-category]],TblDV[Sub-category],TblDV[Category],"")</f>
        <v>Discretionary</v>
      </c>
      <c r="I315" s="6" t="str">
        <f>_xlfn.XLOOKUP(Transactions[[#This Row],[Sub-category]],TblDV[Sub-category],TblDV[Category Type],"")</f>
        <v>Expense</v>
      </c>
    </row>
    <row r="316" spans="1:9">
      <c r="A316" t="s">
        <v>4</v>
      </c>
      <c r="B316" s="5">
        <v>44394</v>
      </c>
      <c r="C316" t="s">
        <v>12</v>
      </c>
      <c r="D316">
        <v>5</v>
      </c>
      <c r="F316" s="7">
        <f t="shared" si="4"/>
        <v>-5</v>
      </c>
      <c r="G316" s="6" t="s">
        <v>13</v>
      </c>
      <c r="H316" s="6" t="str">
        <f>_xlfn.XLOOKUP(Transactions[[#This Row],[Sub-category]],TblDV[Sub-category],TblDV[Category],"")</f>
        <v>Dining Out</v>
      </c>
      <c r="I316" s="6" t="str">
        <f>_xlfn.XLOOKUP(Transactions[[#This Row],[Sub-category]],TblDV[Sub-category],TblDV[Category Type],"")</f>
        <v>Expense</v>
      </c>
    </row>
    <row r="317" spans="1:9">
      <c r="A317" t="s">
        <v>4</v>
      </c>
      <c r="B317" s="5">
        <v>44395</v>
      </c>
      <c r="C317" t="s">
        <v>12</v>
      </c>
      <c r="D317">
        <v>5</v>
      </c>
      <c r="F317" s="7">
        <f t="shared" si="4"/>
        <v>-5</v>
      </c>
      <c r="G317" s="6" t="s">
        <v>13</v>
      </c>
      <c r="H317" s="6" t="str">
        <f>_xlfn.XLOOKUP(Transactions[[#This Row],[Sub-category]],TblDV[Sub-category],TblDV[Category],"")</f>
        <v>Dining Out</v>
      </c>
      <c r="I317" s="6" t="str">
        <f>_xlfn.XLOOKUP(Transactions[[#This Row],[Sub-category]],TblDV[Sub-category],TblDV[Category Type],"")</f>
        <v>Expense</v>
      </c>
    </row>
    <row r="318" spans="1:9">
      <c r="A318" t="s">
        <v>9</v>
      </c>
      <c r="B318" s="5">
        <v>44395</v>
      </c>
      <c r="C318" t="s">
        <v>36</v>
      </c>
      <c r="D318">
        <v>40</v>
      </c>
      <c r="F318" s="7">
        <f t="shared" si="4"/>
        <v>-40</v>
      </c>
      <c r="G318" s="6" t="s">
        <v>37</v>
      </c>
      <c r="H318" s="6" t="str">
        <f>_xlfn.XLOOKUP(Transactions[[#This Row],[Sub-category]],TblDV[Sub-category],TblDV[Category],"")</f>
        <v>Living Expenses</v>
      </c>
      <c r="I318" s="6" t="str">
        <f>_xlfn.XLOOKUP(Transactions[[#This Row],[Sub-category]],TblDV[Sub-category],TblDV[Category Type],"")</f>
        <v>Expense</v>
      </c>
    </row>
    <row r="319" spans="1:9">
      <c r="A319" t="s">
        <v>4</v>
      </c>
      <c r="B319" s="5">
        <v>44396</v>
      </c>
      <c r="C319" t="s">
        <v>38</v>
      </c>
      <c r="D319">
        <v>51.1</v>
      </c>
      <c r="F319" s="7">
        <f t="shared" si="4"/>
        <v>-51.1</v>
      </c>
      <c r="G319" s="6" t="s">
        <v>39</v>
      </c>
      <c r="H319" s="6" t="str">
        <f>_xlfn.XLOOKUP(Transactions[[#This Row],[Sub-category]],TblDV[Sub-category],TblDV[Category],"")</f>
        <v>Discretionary</v>
      </c>
      <c r="I319" s="6" t="str">
        <f>_xlfn.XLOOKUP(Transactions[[#This Row],[Sub-category]],TblDV[Sub-category],TblDV[Category Type],"")</f>
        <v>Expense</v>
      </c>
    </row>
    <row r="320" spans="1:9">
      <c r="A320" t="s">
        <v>4</v>
      </c>
      <c r="B320" s="5">
        <v>44396</v>
      </c>
      <c r="C320" t="s">
        <v>40</v>
      </c>
      <c r="D320">
        <v>35</v>
      </c>
      <c r="F320" s="7">
        <f t="shared" si="4"/>
        <v>-35</v>
      </c>
      <c r="G320" s="6" t="s">
        <v>25</v>
      </c>
      <c r="H320" s="6" t="str">
        <f>_xlfn.XLOOKUP(Transactions[[#This Row],[Sub-category]],TblDV[Sub-category],TblDV[Category],"")</f>
        <v>Discretionary</v>
      </c>
      <c r="I320" s="6" t="str">
        <f>_xlfn.XLOOKUP(Transactions[[#This Row],[Sub-category]],TblDV[Sub-category],TblDV[Category Type],"")</f>
        <v>Expense</v>
      </c>
    </row>
    <row r="321" spans="1:9">
      <c r="A321" t="s">
        <v>4</v>
      </c>
      <c r="B321" s="5">
        <v>44396</v>
      </c>
      <c r="C321" t="s">
        <v>12</v>
      </c>
      <c r="D321">
        <v>5</v>
      </c>
      <c r="F321" s="7">
        <f t="shared" si="4"/>
        <v>-5</v>
      </c>
      <c r="G321" s="6" t="s">
        <v>13</v>
      </c>
      <c r="H321" s="6" t="str">
        <f>_xlfn.XLOOKUP(Transactions[[#This Row],[Sub-category]],TblDV[Sub-category],TblDV[Category],"")</f>
        <v>Dining Out</v>
      </c>
      <c r="I321" s="6" t="str">
        <f>_xlfn.XLOOKUP(Transactions[[#This Row],[Sub-category]],TblDV[Sub-category],TblDV[Category Type],"")</f>
        <v>Expense</v>
      </c>
    </row>
    <row r="322" spans="1:9">
      <c r="A322" t="s">
        <v>4</v>
      </c>
      <c r="B322" s="5">
        <v>44397</v>
      </c>
      <c r="C322" t="s">
        <v>12</v>
      </c>
      <c r="D322">
        <v>5</v>
      </c>
      <c r="F322" s="7">
        <f t="shared" ref="F322:F385" si="5">E322-D322</f>
        <v>-5</v>
      </c>
      <c r="G322" s="6" t="s">
        <v>13</v>
      </c>
      <c r="H322" s="6" t="str">
        <f>_xlfn.XLOOKUP(Transactions[[#This Row],[Sub-category]],TblDV[Sub-category],TblDV[Category],"")</f>
        <v>Dining Out</v>
      </c>
      <c r="I322" s="6" t="str">
        <f>_xlfn.XLOOKUP(Transactions[[#This Row],[Sub-category]],TblDV[Sub-category],TblDV[Category Type],"")</f>
        <v>Expense</v>
      </c>
    </row>
    <row r="323" spans="1:9">
      <c r="A323" t="s">
        <v>4</v>
      </c>
      <c r="B323" s="5">
        <v>44398</v>
      </c>
      <c r="C323" t="s">
        <v>12</v>
      </c>
      <c r="D323">
        <v>5</v>
      </c>
      <c r="F323" s="7">
        <f t="shared" si="5"/>
        <v>-5</v>
      </c>
      <c r="G323" s="6" t="s">
        <v>13</v>
      </c>
      <c r="H323" s="6" t="str">
        <f>_xlfn.XLOOKUP(Transactions[[#This Row],[Sub-category]],TblDV[Sub-category],TblDV[Category],"")</f>
        <v>Dining Out</v>
      </c>
      <c r="I323" s="6" t="str">
        <f>_xlfn.XLOOKUP(Transactions[[#This Row],[Sub-category]],TblDV[Sub-category],TblDV[Category Type],"")</f>
        <v>Expense</v>
      </c>
    </row>
    <row r="324" spans="1:9">
      <c r="A324" t="s">
        <v>4</v>
      </c>
      <c r="B324" s="5">
        <v>44398</v>
      </c>
      <c r="C324" t="s">
        <v>18</v>
      </c>
      <c r="D324">
        <v>176</v>
      </c>
      <c r="F324" s="7">
        <f t="shared" si="5"/>
        <v>-176</v>
      </c>
      <c r="G324" s="6" t="s">
        <v>19</v>
      </c>
      <c r="H324" s="6" t="str">
        <f>_xlfn.XLOOKUP(Transactions[[#This Row],[Sub-category]],TblDV[Sub-category],TblDV[Category],"")</f>
        <v>Living Expenses</v>
      </c>
      <c r="I324" s="6" t="str">
        <f>_xlfn.XLOOKUP(Transactions[[#This Row],[Sub-category]],TblDV[Sub-category],TblDV[Category Type],"")</f>
        <v>Expense</v>
      </c>
    </row>
    <row r="325" spans="1:9">
      <c r="A325" t="s">
        <v>4</v>
      </c>
      <c r="B325" s="5">
        <v>44399</v>
      </c>
      <c r="C325" t="s">
        <v>41</v>
      </c>
      <c r="D325">
        <v>43.1</v>
      </c>
      <c r="F325" s="7">
        <f t="shared" si="5"/>
        <v>-43.1</v>
      </c>
      <c r="G325" s="6" t="s">
        <v>29</v>
      </c>
      <c r="H325" s="6" t="str">
        <f>_xlfn.XLOOKUP(Transactions[[#This Row],[Sub-category]],TblDV[Sub-category],TblDV[Category],"")</f>
        <v>Dining Out</v>
      </c>
      <c r="I325" s="6" t="str">
        <f>_xlfn.XLOOKUP(Transactions[[#This Row],[Sub-category]],TblDV[Sub-category],TblDV[Category Type],"")</f>
        <v>Expense</v>
      </c>
    </row>
    <row r="326" spans="1:9">
      <c r="A326" t="s">
        <v>4</v>
      </c>
      <c r="B326" s="5">
        <v>44400</v>
      </c>
      <c r="C326" t="s">
        <v>42</v>
      </c>
      <c r="D326">
        <v>18.2</v>
      </c>
      <c r="F326" s="7">
        <f t="shared" si="5"/>
        <v>-18.2</v>
      </c>
      <c r="G326" s="6" t="s">
        <v>29</v>
      </c>
      <c r="H326" s="6" t="str">
        <f>_xlfn.XLOOKUP(Transactions[[#This Row],[Sub-category]],TblDV[Sub-category],TblDV[Category],"")</f>
        <v>Dining Out</v>
      </c>
      <c r="I326" s="6" t="str">
        <f>_xlfn.XLOOKUP(Transactions[[#This Row],[Sub-category]],TblDV[Sub-category],TblDV[Category Type],"")</f>
        <v>Expense</v>
      </c>
    </row>
    <row r="327" spans="1:9">
      <c r="A327" t="s">
        <v>9</v>
      </c>
      <c r="B327" s="5">
        <v>44401</v>
      </c>
      <c r="C327" t="s">
        <v>43</v>
      </c>
      <c r="D327">
        <v>55</v>
      </c>
      <c r="F327" s="7">
        <f t="shared" si="5"/>
        <v>-55</v>
      </c>
      <c r="G327" s="6" t="s">
        <v>44</v>
      </c>
      <c r="H327" s="6" t="str">
        <f>_xlfn.XLOOKUP(Transactions[[#This Row],[Sub-category]],TblDV[Sub-category],TblDV[Category],"")</f>
        <v>Charity</v>
      </c>
      <c r="I327" s="6" t="str">
        <f>_xlfn.XLOOKUP(Transactions[[#This Row],[Sub-category]],TblDV[Sub-category],TblDV[Category Type],"")</f>
        <v>Expense</v>
      </c>
    </row>
    <row r="328" spans="1:9">
      <c r="A328" t="s">
        <v>4</v>
      </c>
      <c r="B328" s="5">
        <v>44401</v>
      </c>
      <c r="C328" t="s">
        <v>22</v>
      </c>
      <c r="D328">
        <v>68.8</v>
      </c>
      <c r="F328" s="7">
        <f t="shared" si="5"/>
        <v>-68.8</v>
      </c>
      <c r="G328" s="6" t="s">
        <v>23</v>
      </c>
      <c r="H328" s="6" t="str">
        <f>_xlfn.XLOOKUP(Transactions[[#This Row],[Sub-category]],TblDV[Sub-category],TblDV[Category],"")</f>
        <v>Transport</v>
      </c>
      <c r="I328" s="6" t="str">
        <f>_xlfn.XLOOKUP(Transactions[[#This Row],[Sub-category]],TblDV[Sub-category],TblDV[Category Type],"")</f>
        <v>Expense</v>
      </c>
    </row>
    <row r="329" spans="1:9">
      <c r="A329" t="s">
        <v>4</v>
      </c>
      <c r="B329" s="5">
        <v>44401</v>
      </c>
      <c r="C329" t="s">
        <v>12</v>
      </c>
      <c r="D329">
        <v>5</v>
      </c>
      <c r="F329" s="7">
        <f t="shared" si="5"/>
        <v>-5</v>
      </c>
      <c r="G329" s="6" t="s">
        <v>13</v>
      </c>
      <c r="H329" s="6" t="str">
        <f>_xlfn.XLOOKUP(Transactions[[#This Row],[Sub-category]],TblDV[Sub-category],TblDV[Category],"")</f>
        <v>Dining Out</v>
      </c>
      <c r="I329" s="6" t="str">
        <f>_xlfn.XLOOKUP(Transactions[[#This Row],[Sub-category]],TblDV[Sub-category],TblDV[Category Type],"")</f>
        <v>Expense</v>
      </c>
    </row>
    <row r="330" spans="1:9">
      <c r="A330" t="s">
        <v>4</v>
      </c>
      <c r="B330" s="5">
        <v>44402</v>
      </c>
      <c r="C330" t="s">
        <v>12</v>
      </c>
      <c r="D330">
        <v>5</v>
      </c>
      <c r="F330" s="7">
        <f t="shared" si="5"/>
        <v>-5</v>
      </c>
      <c r="G330" s="6" t="s">
        <v>13</v>
      </c>
      <c r="H330" s="6" t="str">
        <f>_xlfn.XLOOKUP(Transactions[[#This Row],[Sub-category]],TblDV[Sub-category],TblDV[Category],"")</f>
        <v>Dining Out</v>
      </c>
      <c r="I330" s="6" t="str">
        <f>_xlfn.XLOOKUP(Transactions[[#This Row],[Sub-category]],TblDV[Sub-category],TblDV[Category Type],"")</f>
        <v>Expense</v>
      </c>
    </row>
    <row r="331" spans="1:9">
      <c r="A331" t="s">
        <v>4</v>
      </c>
      <c r="B331" s="5">
        <v>44403</v>
      </c>
      <c r="C331" t="s">
        <v>12</v>
      </c>
      <c r="D331">
        <v>5</v>
      </c>
      <c r="F331" s="7">
        <f t="shared" si="5"/>
        <v>-5</v>
      </c>
      <c r="G331" s="6" t="s">
        <v>13</v>
      </c>
      <c r="H331" s="6" t="str">
        <f>_xlfn.XLOOKUP(Transactions[[#This Row],[Sub-category]],TblDV[Sub-category],TblDV[Category],"")</f>
        <v>Dining Out</v>
      </c>
      <c r="I331" s="6" t="str">
        <f>_xlfn.XLOOKUP(Transactions[[#This Row],[Sub-category]],TblDV[Sub-category],TblDV[Category Type],"")</f>
        <v>Expense</v>
      </c>
    </row>
    <row r="332" spans="1:9">
      <c r="A332" t="s">
        <v>4</v>
      </c>
      <c r="B332" s="5">
        <v>44404</v>
      </c>
      <c r="C332" t="s">
        <v>12</v>
      </c>
      <c r="D332">
        <v>5</v>
      </c>
      <c r="F332" s="7">
        <f t="shared" si="5"/>
        <v>-5</v>
      </c>
      <c r="G332" s="6" t="s">
        <v>13</v>
      </c>
      <c r="H332" s="6" t="str">
        <f>_xlfn.XLOOKUP(Transactions[[#This Row],[Sub-category]],TblDV[Sub-category],TblDV[Category],"")</f>
        <v>Dining Out</v>
      </c>
      <c r="I332" s="6" t="str">
        <f>_xlfn.XLOOKUP(Transactions[[#This Row],[Sub-category]],TblDV[Sub-category],TblDV[Category Type],"")</f>
        <v>Expense</v>
      </c>
    </row>
    <row r="333" spans="1:9">
      <c r="A333" t="s">
        <v>4</v>
      </c>
      <c r="B333" s="5">
        <v>44405</v>
      </c>
      <c r="C333" t="s">
        <v>12</v>
      </c>
      <c r="D333">
        <v>5</v>
      </c>
      <c r="F333" s="7">
        <f t="shared" si="5"/>
        <v>-5</v>
      </c>
      <c r="G333" s="6" t="s">
        <v>13</v>
      </c>
      <c r="H333" s="6" t="str">
        <f>_xlfn.XLOOKUP(Transactions[[#This Row],[Sub-category]],TblDV[Sub-category],TblDV[Category],"")</f>
        <v>Dining Out</v>
      </c>
      <c r="I333" s="6" t="str">
        <f>_xlfn.XLOOKUP(Transactions[[#This Row],[Sub-category]],TblDV[Sub-category],TblDV[Category Type],"")</f>
        <v>Expense</v>
      </c>
    </row>
    <row r="334" spans="1:9">
      <c r="A334" t="s">
        <v>4</v>
      </c>
      <c r="B334" s="5">
        <v>44405</v>
      </c>
      <c r="C334" t="s">
        <v>18</v>
      </c>
      <c r="D334">
        <v>193</v>
      </c>
      <c r="F334" s="7">
        <f t="shared" si="5"/>
        <v>-193</v>
      </c>
      <c r="G334" s="6" t="s">
        <v>19</v>
      </c>
      <c r="H334" s="6" t="str">
        <f>_xlfn.XLOOKUP(Transactions[[#This Row],[Sub-category]],TblDV[Sub-category],TblDV[Category],"")</f>
        <v>Living Expenses</v>
      </c>
      <c r="I334" s="6" t="str">
        <f>_xlfn.XLOOKUP(Transactions[[#This Row],[Sub-category]],TblDV[Sub-category],TblDV[Category Type],"")</f>
        <v>Expense</v>
      </c>
    </row>
    <row r="335" spans="1:9">
      <c r="A335" t="s">
        <v>4</v>
      </c>
      <c r="B335" s="5">
        <v>44406</v>
      </c>
      <c r="C335" t="s">
        <v>45</v>
      </c>
      <c r="D335">
        <v>130.8</v>
      </c>
      <c r="F335" s="7">
        <f t="shared" si="5"/>
        <v>-130.8</v>
      </c>
      <c r="G335" s="6" t="s">
        <v>27</v>
      </c>
      <c r="H335" s="6" t="str">
        <f>_xlfn.XLOOKUP(Transactions[[#This Row],[Sub-category]],TblDV[Sub-category],TblDV[Category],"")</f>
        <v>Discretionary</v>
      </c>
      <c r="I335" s="6" t="str">
        <f>_xlfn.XLOOKUP(Transactions[[#This Row],[Sub-category]],TblDV[Sub-category],TblDV[Category Type],"")</f>
        <v>Expense</v>
      </c>
    </row>
    <row r="336" spans="1:9">
      <c r="A336" t="s">
        <v>4</v>
      </c>
      <c r="B336" s="5">
        <v>44406</v>
      </c>
      <c r="C336" t="s">
        <v>53</v>
      </c>
      <c r="D336">
        <v>181.4</v>
      </c>
      <c r="F336" s="7">
        <f t="shared" si="5"/>
        <v>-181.4</v>
      </c>
      <c r="G336" s="6" t="s">
        <v>54</v>
      </c>
      <c r="H336" s="6" t="str">
        <f>_xlfn.XLOOKUP(Transactions[[#This Row],[Sub-category]],TblDV[Sub-category],TblDV[Category],"")</f>
        <v>Discretionary</v>
      </c>
      <c r="I336" s="6" t="str">
        <f>_xlfn.XLOOKUP(Transactions[[#This Row],[Sub-category]],TblDV[Sub-category],TblDV[Category Type],"")</f>
        <v>Expense</v>
      </c>
    </row>
    <row r="337" spans="1:9">
      <c r="A337" t="s">
        <v>4</v>
      </c>
      <c r="B337" s="5">
        <v>44407</v>
      </c>
      <c r="C337" t="s">
        <v>26</v>
      </c>
      <c r="D337">
        <v>151.2</v>
      </c>
      <c r="F337" s="7">
        <f t="shared" si="5"/>
        <v>-151.2</v>
      </c>
      <c r="G337" s="6" t="s">
        <v>27</v>
      </c>
      <c r="H337" s="6" t="str">
        <f>_xlfn.XLOOKUP(Transactions[[#This Row],[Sub-category]],TblDV[Sub-category],TblDV[Category],"")</f>
        <v>Discretionary</v>
      </c>
      <c r="I337" s="6" t="str">
        <f>_xlfn.XLOOKUP(Transactions[[#This Row],[Sub-category]],TblDV[Sub-category],TblDV[Category Type],"")</f>
        <v>Expense</v>
      </c>
    </row>
    <row r="338" spans="1:9">
      <c r="A338" t="s">
        <v>4</v>
      </c>
      <c r="B338" s="5">
        <v>44407</v>
      </c>
      <c r="C338" t="s">
        <v>30</v>
      </c>
      <c r="D338">
        <v>29.3</v>
      </c>
      <c r="F338" s="7">
        <f t="shared" si="5"/>
        <v>-29.3</v>
      </c>
      <c r="G338" s="6" t="s">
        <v>31</v>
      </c>
      <c r="H338" s="6" t="str">
        <f>_xlfn.XLOOKUP(Transactions[[#This Row],[Sub-category]],TblDV[Sub-category],TblDV[Category],"")</f>
        <v>Transport</v>
      </c>
      <c r="I338" s="6" t="str">
        <f>_xlfn.XLOOKUP(Transactions[[#This Row],[Sub-category]],TblDV[Sub-category],TblDV[Category Type],"")</f>
        <v>Expense</v>
      </c>
    </row>
    <row r="339" spans="1:9">
      <c r="A339" t="s">
        <v>4</v>
      </c>
      <c r="B339" s="5">
        <v>44407</v>
      </c>
      <c r="C339" t="s">
        <v>51</v>
      </c>
      <c r="D339">
        <v>15</v>
      </c>
      <c r="F339" s="7">
        <f t="shared" si="5"/>
        <v>-15</v>
      </c>
      <c r="G339" s="6" t="s">
        <v>29</v>
      </c>
      <c r="H339" s="6" t="str">
        <f>_xlfn.XLOOKUP(Transactions[[#This Row],[Sub-category]],TblDV[Sub-category],TblDV[Category],"")</f>
        <v>Dining Out</v>
      </c>
      <c r="I339" s="6" t="str">
        <f>_xlfn.XLOOKUP(Transactions[[#This Row],[Sub-category]],TblDV[Sub-category],TblDV[Category Type],"")</f>
        <v>Expense</v>
      </c>
    </row>
    <row r="340" spans="1:9">
      <c r="A340" t="s">
        <v>4</v>
      </c>
      <c r="B340" s="5">
        <v>44408</v>
      </c>
      <c r="C340" t="s">
        <v>12</v>
      </c>
      <c r="D340">
        <v>5</v>
      </c>
      <c r="F340" s="7">
        <f t="shared" si="5"/>
        <v>-5</v>
      </c>
      <c r="G340" s="6" t="s">
        <v>13</v>
      </c>
      <c r="H340" s="6" t="str">
        <f>_xlfn.XLOOKUP(Transactions[[#This Row],[Sub-category]],TblDV[Sub-category],TblDV[Category],"")</f>
        <v>Dining Out</v>
      </c>
      <c r="I340" s="6" t="str">
        <f>_xlfn.XLOOKUP(Transactions[[#This Row],[Sub-category]],TblDV[Sub-category],TblDV[Category Type],"")</f>
        <v>Expense</v>
      </c>
    </row>
    <row r="341" spans="1:9">
      <c r="A341" t="s">
        <v>4</v>
      </c>
      <c r="B341" s="5">
        <v>44410</v>
      </c>
      <c r="C341" t="s">
        <v>12</v>
      </c>
      <c r="D341">
        <v>5</v>
      </c>
      <c r="F341" s="7">
        <f t="shared" si="5"/>
        <v>-5</v>
      </c>
      <c r="G341" s="6" t="s">
        <v>13</v>
      </c>
      <c r="H341" s="6" t="str">
        <f>_xlfn.XLOOKUP(Transactions[[#This Row],[Sub-category]],TblDV[Sub-category],TblDV[Category],"")</f>
        <v>Dining Out</v>
      </c>
      <c r="I341" s="6" t="str">
        <f>_xlfn.XLOOKUP(Transactions[[#This Row],[Sub-category]],TblDV[Sub-category],TblDV[Category Type],"")</f>
        <v>Expense</v>
      </c>
    </row>
    <row r="342" spans="1:9">
      <c r="A342" t="s">
        <v>9</v>
      </c>
      <c r="B342" s="5">
        <v>44410</v>
      </c>
      <c r="C342" t="s">
        <v>10</v>
      </c>
      <c r="E342">
        <v>4000</v>
      </c>
      <c r="F342" s="7">
        <f t="shared" si="5"/>
        <v>4000</v>
      </c>
      <c r="G342" s="6" t="s">
        <v>11</v>
      </c>
      <c r="H342" s="6" t="str">
        <f>_xlfn.XLOOKUP(Transactions[[#This Row],[Sub-category]],TblDV[Sub-category],TblDV[Category],"")</f>
        <v>Salary</v>
      </c>
      <c r="I342" s="6" t="str">
        <f>_xlfn.XLOOKUP(Transactions[[#This Row],[Sub-category]],TblDV[Sub-category],TblDV[Category Type],"")</f>
        <v>Income</v>
      </c>
    </row>
    <row r="343" spans="1:9">
      <c r="A343" t="s">
        <v>4</v>
      </c>
      <c r="B343" s="5">
        <v>44411</v>
      </c>
      <c r="C343" t="s">
        <v>12</v>
      </c>
      <c r="D343">
        <v>5</v>
      </c>
      <c r="F343" s="7">
        <f t="shared" si="5"/>
        <v>-5</v>
      </c>
      <c r="G343" s="6" t="s">
        <v>13</v>
      </c>
      <c r="H343" s="6" t="str">
        <f>_xlfn.XLOOKUP(Transactions[[#This Row],[Sub-category]],TblDV[Sub-category],TblDV[Category],"")</f>
        <v>Dining Out</v>
      </c>
      <c r="I343" s="6" t="str">
        <f>_xlfn.XLOOKUP(Transactions[[#This Row],[Sub-category]],TblDV[Sub-category],TblDV[Category Type],"")</f>
        <v>Expense</v>
      </c>
    </row>
    <row r="344" spans="1:9">
      <c r="A344" t="s">
        <v>9</v>
      </c>
      <c r="B344" s="5">
        <v>44413</v>
      </c>
      <c r="C344" t="s">
        <v>14</v>
      </c>
      <c r="D344">
        <v>900</v>
      </c>
      <c r="F344" s="7">
        <f t="shared" si="5"/>
        <v>-900</v>
      </c>
      <c r="G344" s="6" t="s">
        <v>15</v>
      </c>
      <c r="H344" s="6" t="str">
        <f>_xlfn.XLOOKUP(Transactions[[#This Row],[Sub-category]],TblDV[Sub-category],TblDV[Category],"")</f>
        <v>Living Expenses</v>
      </c>
      <c r="I344" s="6" t="str">
        <f>_xlfn.XLOOKUP(Transactions[[#This Row],[Sub-category]],TblDV[Sub-category],TblDV[Category Type],"")</f>
        <v>Expense</v>
      </c>
    </row>
    <row r="345" spans="1:9">
      <c r="A345" t="s">
        <v>9</v>
      </c>
      <c r="B345" s="5">
        <v>44413</v>
      </c>
      <c r="C345" t="s">
        <v>16</v>
      </c>
      <c r="D345">
        <v>150</v>
      </c>
      <c r="F345" s="7">
        <f t="shared" si="5"/>
        <v>-150</v>
      </c>
      <c r="G345" s="6" t="s">
        <v>17</v>
      </c>
      <c r="H345" s="6" t="str">
        <f>_xlfn.XLOOKUP(Transactions[[#This Row],[Sub-category]],TblDV[Sub-category],TblDV[Category],"")</f>
        <v>Transport</v>
      </c>
      <c r="I345" s="6" t="str">
        <f>_xlfn.XLOOKUP(Transactions[[#This Row],[Sub-category]],TblDV[Sub-category],TblDV[Category Type],"")</f>
        <v>Expense</v>
      </c>
    </row>
    <row r="346" spans="1:9">
      <c r="A346" t="s">
        <v>4</v>
      </c>
      <c r="B346" s="5">
        <v>44413</v>
      </c>
      <c r="C346" t="s">
        <v>12</v>
      </c>
      <c r="D346">
        <v>5</v>
      </c>
      <c r="F346" s="7">
        <f t="shared" si="5"/>
        <v>-5</v>
      </c>
      <c r="G346" s="6" t="s">
        <v>13</v>
      </c>
      <c r="H346" s="6" t="str">
        <f>_xlfn.XLOOKUP(Transactions[[#This Row],[Sub-category]],TblDV[Sub-category],TblDV[Category],"")</f>
        <v>Dining Out</v>
      </c>
      <c r="I346" s="6" t="str">
        <f>_xlfn.XLOOKUP(Transactions[[#This Row],[Sub-category]],TblDV[Sub-category],TblDV[Category Type],"")</f>
        <v>Expense</v>
      </c>
    </row>
    <row r="347" spans="1:9">
      <c r="A347" t="s">
        <v>4</v>
      </c>
      <c r="B347" s="5">
        <v>44413</v>
      </c>
      <c r="C347" t="s">
        <v>12</v>
      </c>
      <c r="D347">
        <v>5</v>
      </c>
      <c r="F347" s="7">
        <f t="shared" si="5"/>
        <v>-5</v>
      </c>
      <c r="G347" s="6" t="s">
        <v>13</v>
      </c>
      <c r="H347" s="6" t="str">
        <f>_xlfn.XLOOKUP(Transactions[[#This Row],[Sub-category]],TblDV[Sub-category],TblDV[Category],"")</f>
        <v>Dining Out</v>
      </c>
      <c r="I347" s="6" t="str">
        <f>_xlfn.XLOOKUP(Transactions[[#This Row],[Sub-category]],TblDV[Sub-category],TblDV[Category Type],"")</f>
        <v>Expense</v>
      </c>
    </row>
    <row r="348" spans="1:9">
      <c r="A348" t="s">
        <v>4</v>
      </c>
      <c r="B348" s="5">
        <v>44414</v>
      </c>
      <c r="C348" t="s">
        <v>12</v>
      </c>
      <c r="D348">
        <v>5</v>
      </c>
      <c r="F348" s="7">
        <f t="shared" si="5"/>
        <v>-5</v>
      </c>
      <c r="G348" s="6" t="s">
        <v>13</v>
      </c>
      <c r="H348" s="6" t="str">
        <f>_xlfn.XLOOKUP(Transactions[[#This Row],[Sub-category]],TblDV[Sub-category],TblDV[Category],"")</f>
        <v>Dining Out</v>
      </c>
      <c r="I348" s="6" t="str">
        <f>_xlfn.XLOOKUP(Transactions[[#This Row],[Sub-category]],TblDV[Sub-category],TblDV[Category Type],"")</f>
        <v>Expense</v>
      </c>
    </row>
    <row r="349" spans="1:9">
      <c r="A349" t="s">
        <v>4</v>
      </c>
      <c r="B349" s="5">
        <v>44415</v>
      </c>
      <c r="C349" t="s">
        <v>12</v>
      </c>
      <c r="D349">
        <v>5</v>
      </c>
      <c r="F349" s="7">
        <f t="shared" si="5"/>
        <v>-5</v>
      </c>
      <c r="G349" s="6" t="s">
        <v>13</v>
      </c>
      <c r="H349" s="6" t="str">
        <f>_xlfn.XLOOKUP(Transactions[[#This Row],[Sub-category]],TblDV[Sub-category],TblDV[Category],"")</f>
        <v>Dining Out</v>
      </c>
      <c r="I349" s="6" t="str">
        <f>_xlfn.XLOOKUP(Transactions[[#This Row],[Sub-category]],TblDV[Sub-category],TblDV[Category Type],"")</f>
        <v>Expense</v>
      </c>
    </row>
    <row r="350" spans="1:9">
      <c r="A350" t="s">
        <v>4</v>
      </c>
      <c r="B350" s="5">
        <v>44415</v>
      </c>
      <c r="C350" t="s">
        <v>18</v>
      </c>
      <c r="D350">
        <v>137</v>
      </c>
      <c r="F350" s="7">
        <f t="shared" si="5"/>
        <v>-137</v>
      </c>
      <c r="G350" s="6" t="s">
        <v>19</v>
      </c>
      <c r="H350" s="6" t="str">
        <f>_xlfn.XLOOKUP(Transactions[[#This Row],[Sub-category]],TblDV[Sub-category],TblDV[Category],"")</f>
        <v>Living Expenses</v>
      </c>
      <c r="I350" s="6" t="str">
        <f>_xlfn.XLOOKUP(Transactions[[#This Row],[Sub-category]],TblDV[Sub-category],TblDV[Category Type],"")</f>
        <v>Expense</v>
      </c>
    </row>
    <row r="351" spans="1:9">
      <c r="A351" t="s">
        <v>9</v>
      </c>
      <c r="B351" s="5">
        <v>44418</v>
      </c>
      <c r="C351" t="s">
        <v>20</v>
      </c>
      <c r="D351">
        <v>57</v>
      </c>
      <c r="F351" s="7">
        <f t="shared" si="5"/>
        <v>-57</v>
      </c>
      <c r="G351" s="6" t="s">
        <v>21</v>
      </c>
      <c r="H351" s="6" t="str">
        <f>_xlfn.XLOOKUP(Transactions[[#This Row],[Sub-category]],TblDV[Sub-category],TblDV[Category],"")</f>
        <v>Living Expenses</v>
      </c>
      <c r="I351" s="6" t="str">
        <f>_xlfn.XLOOKUP(Transactions[[#This Row],[Sub-category]],TblDV[Sub-category],TblDV[Category Type],"")</f>
        <v>Expense</v>
      </c>
    </row>
    <row r="352" spans="1:9">
      <c r="A352" t="s">
        <v>4</v>
      </c>
      <c r="B352" s="5">
        <v>44418</v>
      </c>
      <c r="C352" t="s">
        <v>12</v>
      </c>
      <c r="D352">
        <v>5</v>
      </c>
      <c r="F352" s="7">
        <f t="shared" si="5"/>
        <v>-5</v>
      </c>
      <c r="G352" s="6" t="s">
        <v>13</v>
      </c>
      <c r="H352" s="6" t="str">
        <f>_xlfn.XLOOKUP(Transactions[[#This Row],[Sub-category]],TblDV[Sub-category],TblDV[Category],"")</f>
        <v>Dining Out</v>
      </c>
      <c r="I352" s="6" t="str">
        <f>_xlfn.XLOOKUP(Transactions[[#This Row],[Sub-category]],TblDV[Sub-category],TblDV[Category Type],"")</f>
        <v>Expense</v>
      </c>
    </row>
    <row r="353" spans="1:9">
      <c r="A353" t="s">
        <v>4</v>
      </c>
      <c r="B353" s="5">
        <v>44419</v>
      </c>
      <c r="C353" t="s">
        <v>12</v>
      </c>
      <c r="D353">
        <v>5</v>
      </c>
      <c r="F353" s="7">
        <f t="shared" si="5"/>
        <v>-5</v>
      </c>
      <c r="G353" s="6" t="s">
        <v>13</v>
      </c>
      <c r="H353" s="6" t="str">
        <f>_xlfn.XLOOKUP(Transactions[[#This Row],[Sub-category]],TblDV[Sub-category],TblDV[Category],"")</f>
        <v>Dining Out</v>
      </c>
      <c r="I353" s="6" t="str">
        <f>_xlfn.XLOOKUP(Transactions[[#This Row],[Sub-category]],TblDV[Sub-category],TblDV[Category Type],"")</f>
        <v>Expense</v>
      </c>
    </row>
    <row r="354" spans="1:9">
      <c r="A354" t="s">
        <v>4</v>
      </c>
      <c r="B354" s="5">
        <v>44420</v>
      </c>
      <c r="C354" t="s">
        <v>22</v>
      </c>
      <c r="D354">
        <v>84.2</v>
      </c>
      <c r="F354" s="7">
        <f t="shared" si="5"/>
        <v>-84.2</v>
      </c>
      <c r="G354" s="6" t="s">
        <v>23</v>
      </c>
      <c r="H354" s="6" t="str">
        <f>_xlfn.XLOOKUP(Transactions[[#This Row],[Sub-category]],TblDV[Sub-category],TblDV[Category],"")</f>
        <v>Transport</v>
      </c>
      <c r="I354" s="6" t="str">
        <f>_xlfn.XLOOKUP(Transactions[[#This Row],[Sub-category]],TblDV[Sub-category],TblDV[Category Type],"")</f>
        <v>Expense</v>
      </c>
    </row>
    <row r="355" spans="1:9">
      <c r="A355" t="s">
        <v>4</v>
      </c>
      <c r="B355" s="5">
        <v>44420</v>
      </c>
      <c r="C355" t="s">
        <v>12</v>
      </c>
      <c r="D355">
        <v>5</v>
      </c>
      <c r="F355" s="7">
        <f t="shared" si="5"/>
        <v>-5</v>
      </c>
      <c r="G355" s="6" t="s">
        <v>13</v>
      </c>
      <c r="H355" s="6" t="str">
        <f>_xlfn.XLOOKUP(Transactions[[#This Row],[Sub-category]],TblDV[Sub-category],TblDV[Category],"")</f>
        <v>Dining Out</v>
      </c>
      <c r="I355" s="6" t="str">
        <f>_xlfn.XLOOKUP(Transactions[[#This Row],[Sub-category]],TblDV[Sub-category],TblDV[Category Type],"")</f>
        <v>Expense</v>
      </c>
    </row>
    <row r="356" spans="1:9">
      <c r="A356" t="s">
        <v>4</v>
      </c>
      <c r="B356" s="5">
        <v>44421</v>
      </c>
      <c r="C356" t="s">
        <v>12</v>
      </c>
      <c r="D356">
        <v>5</v>
      </c>
      <c r="F356" s="7">
        <f t="shared" si="5"/>
        <v>-5</v>
      </c>
      <c r="G356" s="6" t="s">
        <v>13</v>
      </c>
      <c r="H356" s="6" t="str">
        <f>_xlfn.XLOOKUP(Transactions[[#This Row],[Sub-category]],TblDV[Sub-category],TblDV[Category],"")</f>
        <v>Dining Out</v>
      </c>
      <c r="I356" s="6" t="str">
        <f>_xlfn.XLOOKUP(Transactions[[#This Row],[Sub-category]],TblDV[Sub-category],TblDV[Category Type],"")</f>
        <v>Expense</v>
      </c>
    </row>
    <row r="357" spans="1:9">
      <c r="A357" t="s">
        <v>4</v>
      </c>
      <c r="B357" s="5">
        <v>44422</v>
      </c>
      <c r="C357" t="s">
        <v>18</v>
      </c>
      <c r="D357">
        <v>142.1</v>
      </c>
      <c r="F357" s="7">
        <f t="shared" si="5"/>
        <v>-142.1</v>
      </c>
      <c r="G357" s="6" t="s">
        <v>19</v>
      </c>
      <c r="H357" s="6" t="str">
        <f>_xlfn.XLOOKUP(Transactions[[#This Row],[Sub-category]],TblDV[Sub-category],TblDV[Category],"")</f>
        <v>Living Expenses</v>
      </c>
      <c r="I357" s="6" t="str">
        <f>_xlfn.XLOOKUP(Transactions[[#This Row],[Sub-category]],TblDV[Sub-category],TblDV[Category Type],"")</f>
        <v>Expense</v>
      </c>
    </row>
    <row r="358" spans="1:9">
      <c r="A358" t="s">
        <v>4</v>
      </c>
      <c r="B358" s="5">
        <v>44422</v>
      </c>
      <c r="C358" t="s">
        <v>12</v>
      </c>
      <c r="D358">
        <v>5</v>
      </c>
      <c r="F358" s="7">
        <f t="shared" si="5"/>
        <v>-5</v>
      </c>
      <c r="G358" s="6" t="s">
        <v>13</v>
      </c>
      <c r="H358" s="6" t="str">
        <f>_xlfn.XLOOKUP(Transactions[[#This Row],[Sub-category]],TblDV[Sub-category],TblDV[Category],"")</f>
        <v>Dining Out</v>
      </c>
      <c r="I358" s="6" t="str">
        <f>_xlfn.XLOOKUP(Transactions[[#This Row],[Sub-category]],TblDV[Sub-category],TblDV[Category Type],"")</f>
        <v>Expense</v>
      </c>
    </row>
    <row r="359" spans="1:9">
      <c r="A359" t="s">
        <v>4</v>
      </c>
      <c r="B359" s="5">
        <v>44423</v>
      </c>
      <c r="C359" t="s">
        <v>12</v>
      </c>
      <c r="D359">
        <v>5</v>
      </c>
      <c r="F359" s="7">
        <f t="shared" si="5"/>
        <v>-5</v>
      </c>
      <c r="G359" s="6" t="s">
        <v>13</v>
      </c>
      <c r="H359" s="6" t="str">
        <f>_xlfn.XLOOKUP(Transactions[[#This Row],[Sub-category]],TblDV[Sub-category],TblDV[Category],"")</f>
        <v>Dining Out</v>
      </c>
      <c r="I359" s="6" t="str">
        <f>_xlfn.XLOOKUP(Transactions[[#This Row],[Sub-category]],TblDV[Sub-category],TblDV[Category Type],"")</f>
        <v>Expense</v>
      </c>
    </row>
    <row r="360" spans="1:9">
      <c r="A360" t="s">
        <v>4</v>
      </c>
      <c r="B360" s="5">
        <v>44423</v>
      </c>
      <c r="C360" t="s">
        <v>24</v>
      </c>
      <c r="D360">
        <v>46.8</v>
      </c>
      <c r="F360" s="7">
        <f t="shared" si="5"/>
        <v>-46.8</v>
      </c>
      <c r="G360" s="6" t="s">
        <v>25</v>
      </c>
      <c r="H360" s="6" t="str">
        <f>_xlfn.XLOOKUP(Transactions[[#This Row],[Sub-category]],TblDV[Sub-category],TblDV[Category],"")</f>
        <v>Discretionary</v>
      </c>
      <c r="I360" s="6" t="str">
        <f>_xlfn.XLOOKUP(Transactions[[#This Row],[Sub-category]],TblDV[Sub-category],TblDV[Category Type],"")</f>
        <v>Expense</v>
      </c>
    </row>
    <row r="361" spans="1:9">
      <c r="A361" t="s">
        <v>4</v>
      </c>
      <c r="B361" s="5">
        <v>44423</v>
      </c>
      <c r="C361" t="s">
        <v>26</v>
      </c>
      <c r="D361">
        <v>104.7</v>
      </c>
      <c r="F361" s="7">
        <f t="shared" si="5"/>
        <v>-104.7</v>
      </c>
      <c r="G361" s="6" t="s">
        <v>27</v>
      </c>
      <c r="H361" s="6" t="str">
        <f>_xlfn.XLOOKUP(Transactions[[#This Row],[Sub-category]],TblDV[Sub-category],TblDV[Category],"")</f>
        <v>Discretionary</v>
      </c>
      <c r="I361" s="6" t="str">
        <f>_xlfn.XLOOKUP(Transactions[[#This Row],[Sub-category]],TblDV[Sub-category],TblDV[Category Type],"")</f>
        <v>Expense</v>
      </c>
    </row>
    <row r="362" spans="1:9">
      <c r="A362" t="s">
        <v>4</v>
      </c>
      <c r="B362" s="5">
        <v>44423</v>
      </c>
      <c r="C362" t="s">
        <v>28</v>
      </c>
      <c r="D362">
        <v>59.1</v>
      </c>
      <c r="F362" s="7">
        <f t="shared" si="5"/>
        <v>-59.1</v>
      </c>
      <c r="G362" s="6" t="s">
        <v>29</v>
      </c>
      <c r="H362" s="6" t="str">
        <f>_xlfn.XLOOKUP(Transactions[[#This Row],[Sub-category]],TblDV[Sub-category],TblDV[Category],"")</f>
        <v>Dining Out</v>
      </c>
      <c r="I362" s="6" t="str">
        <f>_xlfn.XLOOKUP(Transactions[[#This Row],[Sub-category]],TblDV[Sub-category],TblDV[Category Type],"")</f>
        <v>Expense</v>
      </c>
    </row>
    <row r="363" spans="1:9">
      <c r="A363" t="s">
        <v>4</v>
      </c>
      <c r="B363" s="5">
        <v>44424</v>
      </c>
      <c r="C363" t="s">
        <v>30</v>
      </c>
      <c r="D363">
        <v>35.1</v>
      </c>
      <c r="F363" s="7">
        <f t="shared" si="5"/>
        <v>-35.1</v>
      </c>
      <c r="G363" s="6" t="s">
        <v>31</v>
      </c>
      <c r="H363" s="6" t="str">
        <f>_xlfn.XLOOKUP(Transactions[[#This Row],[Sub-category]],TblDV[Sub-category],TblDV[Category],"")</f>
        <v>Transport</v>
      </c>
      <c r="I363" s="6" t="str">
        <f>_xlfn.XLOOKUP(Transactions[[#This Row],[Sub-category]],TblDV[Sub-category],TblDV[Category Type],"")</f>
        <v>Expense</v>
      </c>
    </row>
    <row r="364" spans="1:9">
      <c r="A364" t="s">
        <v>9</v>
      </c>
      <c r="B364" s="5">
        <v>44425</v>
      </c>
      <c r="C364" t="s">
        <v>32</v>
      </c>
      <c r="D364">
        <v>30</v>
      </c>
      <c r="F364" s="7">
        <f t="shared" si="5"/>
        <v>-30</v>
      </c>
      <c r="G364" s="6" t="s">
        <v>33</v>
      </c>
      <c r="H364" s="6" t="str">
        <f>_xlfn.XLOOKUP(Transactions[[#This Row],[Sub-category]],TblDV[Sub-category],TblDV[Category],"")</f>
        <v>Discretionary</v>
      </c>
      <c r="I364" s="6" t="str">
        <f>_xlfn.XLOOKUP(Transactions[[#This Row],[Sub-category]],TblDV[Sub-category],TblDV[Category Type],"")</f>
        <v>Expense</v>
      </c>
    </row>
    <row r="365" spans="1:9">
      <c r="A365" t="s">
        <v>4</v>
      </c>
      <c r="B365" s="5">
        <v>44425</v>
      </c>
      <c r="C365" t="s">
        <v>12</v>
      </c>
      <c r="D365">
        <v>5</v>
      </c>
      <c r="F365" s="7">
        <f t="shared" si="5"/>
        <v>-5</v>
      </c>
      <c r="G365" s="6" t="s">
        <v>13</v>
      </c>
      <c r="H365" s="6" t="str">
        <f>_xlfn.XLOOKUP(Transactions[[#This Row],[Sub-category]],TblDV[Sub-category],TblDV[Category],"")</f>
        <v>Dining Out</v>
      </c>
      <c r="I365" s="6" t="str">
        <f>_xlfn.XLOOKUP(Transactions[[#This Row],[Sub-category]],TblDV[Sub-category],TblDV[Category Type],"")</f>
        <v>Expense</v>
      </c>
    </row>
    <row r="366" spans="1:9">
      <c r="A366" t="s">
        <v>4</v>
      </c>
      <c r="B366" s="5">
        <v>44426</v>
      </c>
      <c r="C366" t="s">
        <v>12</v>
      </c>
      <c r="D366">
        <v>5</v>
      </c>
      <c r="F366" s="7">
        <f t="shared" si="5"/>
        <v>-5</v>
      </c>
      <c r="G366" s="6" t="s">
        <v>13</v>
      </c>
      <c r="H366" s="6" t="str">
        <f>_xlfn.XLOOKUP(Transactions[[#This Row],[Sub-category]],TblDV[Sub-category],TblDV[Category],"")</f>
        <v>Dining Out</v>
      </c>
      <c r="I366" s="6" t="str">
        <f>_xlfn.XLOOKUP(Transactions[[#This Row],[Sub-category]],TblDV[Sub-category],TblDV[Category Type],"")</f>
        <v>Expense</v>
      </c>
    </row>
    <row r="367" spans="1:9">
      <c r="A367" t="s">
        <v>9</v>
      </c>
      <c r="B367" s="5">
        <v>44426</v>
      </c>
      <c r="C367" t="s">
        <v>36</v>
      </c>
      <c r="D367">
        <v>40</v>
      </c>
      <c r="F367" s="7">
        <f t="shared" si="5"/>
        <v>-40</v>
      </c>
      <c r="G367" s="6" t="s">
        <v>37</v>
      </c>
      <c r="H367" s="6" t="str">
        <f>_xlfn.XLOOKUP(Transactions[[#This Row],[Sub-category]],TblDV[Sub-category],TblDV[Category],"")</f>
        <v>Living Expenses</v>
      </c>
      <c r="I367" s="6" t="str">
        <f>_xlfn.XLOOKUP(Transactions[[#This Row],[Sub-category]],TblDV[Sub-category],TblDV[Category Type],"")</f>
        <v>Expense</v>
      </c>
    </row>
    <row r="368" spans="1:9">
      <c r="A368" t="s">
        <v>4</v>
      </c>
      <c r="B368" s="5">
        <v>44427</v>
      </c>
      <c r="C368" t="s">
        <v>38</v>
      </c>
      <c r="D368">
        <v>52.1</v>
      </c>
      <c r="F368" s="7">
        <f t="shared" si="5"/>
        <v>-52.1</v>
      </c>
      <c r="G368" s="6" t="s">
        <v>39</v>
      </c>
      <c r="H368" s="6" t="str">
        <f>_xlfn.XLOOKUP(Transactions[[#This Row],[Sub-category]],TblDV[Sub-category],TblDV[Category],"")</f>
        <v>Discretionary</v>
      </c>
      <c r="I368" s="6" t="str">
        <f>_xlfn.XLOOKUP(Transactions[[#This Row],[Sub-category]],TblDV[Sub-category],TblDV[Category Type],"")</f>
        <v>Expense</v>
      </c>
    </row>
    <row r="369" spans="1:9">
      <c r="A369" t="s">
        <v>4</v>
      </c>
      <c r="B369" s="5">
        <v>44427</v>
      </c>
      <c r="C369" t="s">
        <v>40</v>
      </c>
      <c r="D369">
        <v>35</v>
      </c>
      <c r="F369" s="7">
        <f t="shared" si="5"/>
        <v>-35</v>
      </c>
      <c r="G369" s="6" t="s">
        <v>25</v>
      </c>
      <c r="H369" s="6" t="str">
        <f>_xlfn.XLOOKUP(Transactions[[#This Row],[Sub-category]],TblDV[Sub-category],TblDV[Category],"")</f>
        <v>Discretionary</v>
      </c>
      <c r="I369" s="6" t="str">
        <f>_xlfn.XLOOKUP(Transactions[[#This Row],[Sub-category]],TblDV[Sub-category],TblDV[Category Type],"")</f>
        <v>Expense</v>
      </c>
    </row>
    <row r="370" spans="1:9">
      <c r="A370" t="s">
        <v>4</v>
      </c>
      <c r="B370" s="5">
        <v>44427</v>
      </c>
      <c r="C370" t="s">
        <v>12</v>
      </c>
      <c r="D370">
        <v>5</v>
      </c>
      <c r="F370" s="7">
        <f t="shared" si="5"/>
        <v>-5</v>
      </c>
      <c r="G370" s="6" t="s">
        <v>13</v>
      </c>
      <c r="H370" s="6" t="str">
        <f>_xlfn.XLOOKUP(Transactions[[#This Row],[Sub-category]],TblDV[Sub-category],TblDV[Category],"")</f>
        <v>Dining Out</v>
      </c>
      <c r="I370" s="6" t="str">
        <f>_xlfn.XLOOKUP(Transactions[[#This Row],[Sub-category]],TblDV[Sub-category],TblDV[Category Type],"")</f>
        <v>Expense</v>
      </c>
    </row>
    <row r="371" spans="1:9">
      <c r="A371" t="s">
        <v>4</v>
      </c>
      <c r="B371" s="5">
        <v>44428</v>
      </c>
      <c r="C371" t="s">
        <v>12</v>
      </c>
      <c r="D371">
        <v>5</v>
      </c>
      <c r="F371" s="7">
        <f t="shared" si="5"/>
        <v>-5</v>
      </c>
      <c r="G371" s="6" t="s">
        <v>13</v>
      </c>
      <c r="H371" s="6" t="str">
        <f>_xlfn.XLOOKUP(Transactions[[#This Row],[Sub-category]],TblDV[Sub-category],TblDV[Category],"")</f>
        <v>Dining Out</v>
      </c>
      <c r="I371" s="6" t="str">
        <f>_xlfn.XLOOKUP(Transactions[[#This Row],[Sub-category]],TblDV[Sub-category],TblDV[Category Type],"")</f>
        <v>Expense</v>
      </c>
    </row>
    <row r="372" spans="1:9">
      <c r="A372" t="s">
        <v>4</v>
      </c>
      <c r="B372" s="5">
        <v>44429</v>
      </c>
      <c r="C372" t="s">
        <v>12</v>
      </c>
      <c r="D372">
        <v>5</v>
      </c>
      <c r="F372" s="7">
        <f t="shared" si="5"/>
        <v>-5</v>
      </c>
      <c r="G372" s="6" t="s">
        <v>13</v>
      </c>
      <c r="H372" s="6" t="str">
        <f>_xlfn.XLOOKUP(Transactions[[#This Row],[Sub-category]],TblDV[Sub-category],TblDV[Category],"")</f>
        <v>Dining Out</v>
      </c>
      <c r="I372" s="6" t="str">
        <f>_xlfn.XLOOKUP(Transactions[[#This Row],[Sub-category]],TblDV[Sub-category],TblDV[Category Type],"")</f>
        <v>Expense</v>
      </c>
    </row>
    <row r="373" spans="1:9">
      <c r="A373" t="s">
        <v>4</v>
      </c>
      <c r="B373" s="5">
        <v>44429</v>
      </c>
      <c r="C373" t="s">
        <v>18</v>
      </c>
      <c r="D373">
        <v>177</v>
      </c>
      <c r="F373" s="7">
        <f t="shared" si="5"/>
        <v>-177</v>
      </c>
      <c r="G373" s="6" t="s">
        <v>19</v>
      </c>
      <c r="H373" s="6" t="str">
        <f>_xlfn.XLOOKUP(Transactions[[#This Row],[Sub-category]],TblDV[Sub-category],TblDV[Category],"")</f>
        <v>Living Expenses</v>
      </c>
      <c r="I373" s="6" t="str">
        <f>_xlfn.XLOOKUP(Transactions[[#This Row],[Sub-category]],TblDV[Sub-category],TblDV[Category Type],"")</f>
        <v>Expense</v>
      </c>
    </row>
    <row r="374" spans="1:9">
      <c r="A374" t="s">
        <v>4</v>
      </c>
      <c r="B374" s="5">
        <v>44430</v>
      </c>
      <c r="C374" t="s">
        <v>41</v>
      </c>
      <c r="D374">
        <v>44.2</v>
      </c>
      <c r="F374" s="7">
        <f t="shared" si="5"/>
        <v>-44.2</v>
      </c>
      <c r="G374" s="6" t="s">
        <v>29</v>
      </c>
      <c r="H374" s="6" t="str">
        <f>_xlfn.XLOOKUP(Transactions[[#This Row],[Sub-category]],TblDV[Sub-category],TblDV[Category],"")</f>
        <v>Dining Out</v>
      </c>
      <c r="I374" s="6" t="str">
        <f>_xlfn.XLOOKUP(Transactions[[#This Row],[Sub-category]],TblDV[Sub-category],TblDV[Category Type],"")</f>
        <v>Expense</v>
      </c>
    </row>
    <row r="375" spans="1:9">
      <c r="A375" t="s">
        <v>4</v>
      </c>
      <c r="B375" s="5">
        <v>44431</v>
      </c>
      <c r="C375" t="s">
        <v>42</v>
      </c>
      <c r="D375">
        <v>19.2</v>
      </c>
      <c r="F375" s="7">
        <f t="shared" si="5"/>
        <v>-19.2</v>
      </c>
      <c r="G375" s="6" t="s">
        <v>29</v>
      </c>
      <c r="H375" s="6" t="str">
        <f>_xlfn.XLOOKUP(Transactions[[#This Row],[Sub-category]],TblDV[Sub-category],TblDV[Category],"")</f>
        <v>Dining Out</v>
      </c>
      <c r="I375" s="6" t="str">
        <f>_xlfn.XLOOKUP(Transactions[[#This Row],[Sub-category]],TblDV[Sub-category],TblDV[Category Type],"")</f>
        <v>Expense</v>
      </c>
    </row>
    <row r="376" spans="1:9">
      <c r="A376" t="s">
        <v>9</v>
      </c>
      <c r="B376" s="5">
        <v>44432</v>
      </c>
      <c r="C376" t="s">
        <v>43</v>
      </c>
      <c r="D376">
        <v>55</v>
      </c>
      <c r="F376" s="7">
        <f t="shared" si="5"/>
        <v>-55</v>
      </c>
      <c r="G376" s="6" t="s">
        <v>44</v>
      </c>
      <c r="H376" s="6" t="str">
        <f>_xlfn.XLOOKUP(Transactions[[#This Row],[Sub-category]],TblDV[Sub-category],TblDV[Category],"")</f>
        <v>Charity</v>
      </c>
      <c r="I376" s="6" t="str">
        <f>_xlfn.XLOOKUP(Transactions[[#This Row],[Sub-category]],TblDV[Sub-category],TblDV[Category Type],"")</f>
        <v>Expense</v>
      </c>
    </row>
    <row r="377" spans="1:9">
      <c r="A377" t="s">
        <v>4</v>
      </c>
      <c r="B377" s="5">
        <v>44432</v>
      </c>
      <c r="C377" t="s">
        <v>22</v>
      </c>
      <c r="D377">
        <v>69.7</v>
      </c>
      <c r="F377" s="7">
        <f t="shared" si="5"/>
        <v>-69.7</v>
      </c>
      <c r="G377" s="6" t="s">
        <v>23</v>
      </c>
      <c r="H377" s="6" t="str">
        <f>_xlfn.XLOOKUP(Transactions[[#This Row],[Sub-category]],TblDV[Sub-category],TblDV[Category],"")</f>
        <v>Transport</v>
      </c>
      <c r="I377" s="6" t="str">
        <f>_xlfn.XLOOKUP(Transactions[[#This Row],[Sub-category]],TblDV[Sub-category],TblDV[Category Type],"")</f>
        <v>Expense</v>
      </c>
    </row>
    <row r="378" spans="1:9">
      <c r="A378" t="s">
        <v>4</v>
      </c>
      <c r="B378" s="5">
        <v>44432</v>
      </c>
      <c r="C378" t="s">
        <v>12</v>
      </c>
      <c r="D378">
        <v>5</v>
      </c>
      <c r="F378" s="7">
        <f t="shared" si="5"/>
        <v>-5</v>
      </c>
      <c r="G378" s="6" t="s">
        <v>13</v>
      </c>
      <c r="H378" s="6" t="str">
        <f>_xlfn.XLOOKUP(Transactions[[#This Row],[Sub-category]],TblDV[Sub-category],TblDV[Category],"")</f>
        <v>Dining Out</v>
      </c>
      <c r="I378" s="6" t="str">
        <f>_xlfn.XLOOKUP(Transactions[[#This Row],[Sub-category]],TblDV[Sub-category],TblDV[Category Type],"")</f>
        <v>Expense</v>
      </c>
    </row>
    <row r="379" spans="1:9">
      <c r="A379" t="s">
        <v>4</v>
      </c>
      <c r="B379" s="5">
        <v>44433</v>
      </c>
      <c r="C379" t="s">
        <v>12</v>
      </c>
      <c r="D379">
        <v>5</v>
      </c>
      <c r="F379" s="7">
        <f t="shared" si="5"/>
        <v>-5</v>
      </c>
      <c r="G379" s="6" t="s">
        <v>13</v>
      </c>
      <c r="H379" s="6" t="str">
        <f>_xlfn.XLOOKUP(Transactions[[#This Row],[Sub-category]],TblDV[Sub-category],TblDV[Category],"")</f>
        <v>Dining Out</v>
      </c>
      <c r="I379" s="6" t="str">
        <f>_xlfn.XLOOKUP(Transactions[[#This Row],[Sub-category]],TblDV[Sub-category],TblDV[Category Type],"")</f>
        <v>Expense</v>
      </c>
    </row>
    <row r="380" spans="1:9">
      <c r="A380" t="s">
        <v>4</v>
      </c>
      <c r="B380" s="5">
        <v>44434</v>
      </c>
      <c r="C380" t="s">
        <v>12</v>
      </c>
      <c r="D380">
        <v>5</v>
      </c>
      <c r="F380" s="7">
        <f t="shared" si="5"/>
        <v>-5</v>
      </c>
      <c r="G380" s="6" t="s">
        <v>13</v>
      </c>
      <c r="H380" s="6" t="str">
        <f>_xlfn.XLOOKUP(Transactions[[#This Row],[Sub-category]],TblDV[Sub-category],TblDV[Category],"")</f>
        <v>Dining Out</v>
      </c>
      <c r="I380" s="6" t="str">
        <f>_xlfn.XLOOKUP(Transactions[[#This Row],[Sub-category]],TblDV[Sub-category],TblDV[Category Type],"")</f>
        <v>Expense</v>
      </c>
    </row>
    <row r="381" spans="1:9">
      <c r="A381" t="s">
        <v>4</v>
      </c>
      <c r="B381" s="5">
        <v>44435</v>
      </c>
      <c r="C381" t="s">
        <v>12</v>
      </c>
      <c r="D381">
        <v>5</v>
      </c>
      <c r="F381" s="7">
        <f t="shared" si="5"/>
        <v>-5</v>
      </c>
      <c r="G381" s="6" t="s">
        <v>13</v>
      </c>
      <c r="H381" s="6" t="str">
        <f>_xlfn.XLOOKUP(Transactions[[#This Row],[Sub-category]],TblDV[Sub-category],TblDV[Category],"")</f>
        <v>Dining Out</v>
      </c>
      <c r="I381" s="6" t="str">
        <f>_xlfn.XLOOKUP(Transactions[[#This Row],[Sub-category]],TblDV[Sub-category],TblDV[Category Type],"")</f>
        <v>Expense</v>
      </c>
    </row>
    <row r="382" spans="1:9">
      <c r="A382" t="s">
        <v>4</v>
      </c>
      <c r="B382" s="5">
        <v>44436</v>
      </c>
      <c r="C382" t="s">
        <v>12</v>
      </c>
      <c r="D382">
        <v>5</v>
      </c>
      <c r="F382" s="7">
        <f t="shared" si="5"/>
        <v>-5</v>
      </c>
      <c r="G382" s="6" t="s">
        <v>13</v>
      </c>
      <c r="H382" s="6" t="str">
        <f>_xlfn.XLOOKUP(Transactions[[#This Row],[Sub-category]],TblDV[Sub-category],TblDV[Category],"")</f>
        <v>Dining Out</v>
      </c>
      <c r="I382" s="6" t="str">
        <f>_xlfn.XLOOKUP(Transactions[[#This Row],[Sub-category]],TblDV[Sub-category],TblDV[Category Type],"")</f>
        <v>Expense</v>
      </c>
    </row>
    <row r="383" spans="1:9">
      <c r="A383" t="s">
        <v>4</v>
      </c>
      <c r="B383" s="5">
        <v>44436</v>
      </c>
      <c r="C383" t="s">
        <v>18</v>
      </c>
      <c r="D383">
        <v>117</v>
      </c>
      <c r="F383" s="7">
        <f t="shared" si="5"/>
        <v>-117</v>
      </c>
      <c r="G383" s="6" t="s">
        <v>19</v>
      </c>
      <c r="H383" s="6" t="str">
        <f>_xlfn.XLOOKUP(Transactions[[#This Row],[Sub-category]],TblDV[Sub-category],TblDV[Category],"")</f>
        <v>Living Expenses</v>
      </c>
      <c r="I383" s="6" t="str">
        <f>_xlfn.XLOOKUP(Transactions[[#This Row],[Sub-category]],TblDV[Sub-category],TblDV[Category Type],"")</f>
        <v>Expense</v>
      </c>
    </row>
    <row r="384" spans="1:9">
      <c r="A384" t="s">
        <v>4</v>
      </c>
      <c r="B384" s="5">
        <v>44437</v>
      </c>
      <c r="C384" t="s">
        <v>45</v>
      </c>
      <c r="D384">
        <v>131.9</v>
      </c>
      <c r="F384" s="7">
        <f t="shared" si="5"/>
        <v>-131.9</v>
      </c>
      <c r="G384" s="6" t="s">
        <v>27</v>
      </c>
      <c r="H384" s="6" t="str">
        <f>_xlfn.XLOOKUP(Transactions[[#This Row],[Sub-category]],TblDV[Sub-category],TblDV[Category],"")</f>
        <v>Discretionary</v>
      </c>
      <c r="I384" s="6" t="str">
        <f>_xlfn.XLOOKUP(Transactions[[#This Row],[Sub-category]],TblDV[Sub-category],TblDV[Category Type],"")</f>
        <v>Expense</v>
      </c>
    </row>
    <row r="385" spans="1:9">
      <c r="A385" t="s">
        <v>4</v>
      </c>
      <c r="B385" s="5">
        <v>44437</v>
      </c>
      <c r="C385" t="s">
        <v>46</v>
      </c>
      <c r="D385">
        <v>182.4</v>
      </c>
      <c r="F385" s="7">
        <f t="shared" si="5"/>
        <v>-182.4</v>
      </c>
      <c r="G385" s="6" t="s">
        <v>25</v>
      </c>
      <c r="H385" s="6" t="str">
        <f>_xlfn.XLOOKUP(Transactions[[#This Row],[Sub-category]],TblDV[Sub-category],TblDV[Category],"")</f>
        <v>Discretionary</v>
      </c>
      <c r="I385" s="6" t="str">
        <f>_xlfn.XLOOKUP(Transactions[[#This Row],[Sub-category]],TblDV[Sub-category],TblDV[Category Type],"")</f>
        <v>Expense</v>
      </c>
    </row>
    <row r="386" spans="1:9">
      <c r="A386" t="s">
        <v>4</v>
      </c>
      <c r="B386" s="5">
        <v>44438</v>
      </c>
      <c r="C386" t="s">
        <v>26</v>
      </c>
      <c r="D386">
        <v>152.3</v>
      </c>
      <c r="F386" s="7">
        <f t="shared" ref="F386:F449" si="6">E386-D386</f>
        <v>-152.3</v>
      </c>
      <c r="G386" s="6" t="s">
        <v>27</v>
      </c>
      <c r="H386" s="6" t="str">
        <f>_xlfn.XLOOKUP(Transactions[[#This Row],[Sub-category]],TblDV[Sub-category],TblDV[Category],"")</f>
        <v>Discretionary</v>
      </c>
      <c r="I386" s="6" t="str">
        <f>_xlfn.XLOOKUP(Transactions[[#This Row],[Sub-category]],TblDV[Sub-category],TblDV[Category Type],"")</f>
        <v>Expense</v>
      </c>
    </row>
    <row r="387" spans="1:9">
      <c r="A387" t="s">
        <v>4</v>
      </c>
      <c r="B387" s="5">
        <v>44438</v>
      </c>
      <c r="C387" t="s">
        <v>30</v>
      </c>
      <c r="D387">
        <v>30.3</v>
      </c>
      <c r="F387" s="7">
        <f t="shared" si="6"/>
        <v>-30.3</v>
      </c>
      <c r="G387" s="6" t="s">
        <v>31</v>
      </c>
      <c r="H387" s="6" t="str">
        <f>_xlfn.XLOOKUP(Transactions[[#This Row],[Sub-category]],TblDV[Sub-category],TblDV[Category],"")</f>
        <v>Transport</v>
      </c>
      <c r="I387" s="6" t="str">
        <f>_xlfn.XLOOKUP(Transactions[[#This Row],[Sub-category]],TblDV[Sub-category],TblDV[Category Type],"")</f>
        <v>Expense</v>
      </c>
    </row>
    <row r="388" spans="1:9">
      <c r="A388" t="s">
        <v>4</v>
      </c>
      <c r="B388" s="5">
        <v>44438</v>
      </c>
      <c r="C388" t="s">
        <v>51</v>
      </c>
      <c r="D388">
        <v>15</v>
      </c>
      <c r="F388" s="7">
        <f t="shared" si="6"/>
        <v>-15</v>
      </c>
      <c r="G388" s="6" t="s">
        <v>29</v>
      </c>
      <c r="H388" s="6" t="str">
        <f>_xlfn.XLOOKUP(Transactions[[#This Row],[Sub-category]],TblDV[Sub-category],TblDV[Category],"")</f>
        <v>Dining Out</v>
      </c>
      <c r="I388" s="6" t="str">
        <f>_xlfn.XLOOKUP(Transactions[[#This Row],[Sub-category]],TblDV[Sub-category],TblDV[Category Type],"")</f>
        <v>Expense</v>
      </c>
    </row>
    <row r="389" spans="1:9">
      <c r="A389" t="s">
        <v>4</v>
      </c>
      <c r="B389" s="5">
        <v>44439</v>
      </c>
      <c r="C389" t="s">
        <v>12</v>
      </c>
      <c r="D389">
        <v>5</v>
      </c>
      <c r="F389" s="7">
        <f t="shared" si="6"/>
        <v>-5</v>
      </c>
      <c r="G389" s="6" t="s">
        <v>13</v>
      </c>
      <c r="H389" s="6" t="str">
        <f>_xlfn.XLOOKUP(Transactions[[#This Row],[Sub-category]],TblDV[Sub-category],TblDV[Category],"")</f>
        <v>Dining Out</v>
      </c>
      <c r="I389" s="6" t="str">
        <f>_xlfn.XLOOKUP(Transactions[[#This Row],[Sub-category]],TblDV[Sub-category],TblDV[Category Type],"")</f>
        <v>Expense</v>
      </c>
    </row>
    <row r="390" spans="1:9">
      <c r="A390" t="s">
        <v>4</v>
      </c>
      <c r="B390" s="5">
        <v>44441</v>
      </c>
      <c r="C390" t="s">
        <v>12</v>
      </c>
      <c r="D390">
        <v>5</v>
      </c>
      <c r="F390" s="7">
        <f t="shared" si="6"/>
        <v>-5</v>
      </c>
      <c r="G390" s="6" t="s">
        <v>13</v>
      </c>
      <c r="H390" s="6" t="str">
        <f>_xlfn.XLOOKUP(Transactions[[#This Row],[Sub-category]],TblDV[Sub-category],TblDV[Category],"")</f>
        <v>Dining Out</v>
      </c>
      <c r="I390" s="6" t="str">
        <f>_xlfn.XLOOKUP(Transactions[[#This Row],[Sub-category]],TblDV[Sub-category],TblDV[Category Type],"")</f>
        <v>Expense</v>
      </c>
    </row>
    <row r="391" spans="1:9">
      <c r="A391" t="s">
        <v>9</v>
      </c>
      <c r="B391" s="5">
        <v>44441</v>
      </c>
      <c r="C391" t="s">
        <v>10</v>
      </c>
      <c r="E391">
        <v>4000</v>
      </c>
      <c r="F391" s="7">
        <f t="shared" si="6"/>
        <v>4000</v>
      </c>
      <c r="G391" s="6" t="s">
        <v>11</v>
      </c>
      <c r="H391" s="6" t="str">
        <f>_xlfn.XLOOKUP(Transactions[[#This Row],[Sub-category]],TblDV[Sub-category],TblDV[Category],"")</f>
        <v>Salary</v>
      </c>
      <c r="I391" s="6" t="str">
        <f>_xlfn.XLOOKUP(Transactions[[#This Row],[Sub-category]],TblDV[Sub-category],TblDV[Category Type],"")</f>
        <v>Income</v>
      </c>
    </row>
    <row r="392" spans="1:9">
      <c r="A392" t="s">
        <v>4</v>
      </c>
      <c r="B392" s="5">
        <v>44442</v>
      </c>
      <c r="C392" t="s">
        <v>12</v>
      </c>
      <c r="D392">
        <v>5</v>
      </c>
      <c r="F392" s="7">
        <f t="shared" si="6"/>
        <v>-5</v>
      </c>
      <c r="G392" s="6" t="s">
        <v>13</v>
      </c>
      <c r="H392" s="6" t="str">
        <f>_xlfn.XLOOKUP(Transactions[[#This Row],[Sub-category]],TblDV[Sub-category],TblDV[Category],"")</f>
        <v>Dining Out</v>
      </c>
      <c r="I392" s="6" t="str">
        <f>_xlfn.XLOOKUP(Transactions[[#This Row],[Sub-category]],TblDV[Sub-category],TblDV[Category Type],"")</f>
        <v>Expense</v>
      </c>
    </row>
    <row r="393" spans="1:9">
      <c r="A393" t="s">
        <v>9</v>
      </c>
      <c r="B393" s="5">
        <v>44444</v>
      </c>
      <c r="C393" t="s">
        <v>14</v>
      </c>
      <c r="D393">
        <v>900</v>
      </c>
      <c r="F393" s="7">
        <f t="shared" si="6"/>
        <v>-900</v>
      </c>
      <c r="G393" s="6" t="s">
        <v>15</v>
      </c>
      <c r="H393" s="6" t="str">
        <f>_xlfn.XLOOKUP(Transactions[[#This Row],[Sub-category]],TblDV[Sub-category],TblDV[Category],"")</f>
        <v>Living Expenses</v>
      </c>
      <c r="I393" s="6" t="str">
        <f>_xlfn.XLOOKUP(Transactions[[#This Row],[Sub-category]],TblDV[Sub-category],TblDV[Category Type],"")</f>
        <v>Expense</v>
      </c>
    </row>
    <row r="394" spans="1:9">
      <c r="A394" t="s">
        <v>9</v>
      </c>
      <c r="B394" s="5">
        <v>44444</v>
      </c>
      <c r="C394" t="s">
        <v>16</v>
      </c>
      <c r="D394">
        <v>150</v>
      </c>
      <c r="F394" s="7">
        <f t="shared" si="6"/>
        <v>-150</v>
      </c>
      <c r="G394" s="6" t="s">
        <v>17</v>
      </c>
      <c r="H394" s="6" t="str">
        <f>_xlfn.XLOOKUP(Transactions[[#This Row],[Sub-category]],TblDV[Sub-category],TblDV[Category],"")</f>
        <v>Transport</v>
      </c>
      <c r="I394" s="6" t="str">
        <f>_xlfn.XLOOKUP(Transactions[[#This Row],[Sub-category]],TblDV[Sub-category],TblDV[Category Type],"")</f>
        <v>Expense</v>
      </c>
    </row>
    <row r="395" spans="1:9">
      <c r="A395" t="s">
        <v>4</v>
      </c>
      <c r="B395" s="5">
        <v>44444</v>
      </c>
      <c r="C395" t="s">
        <v>12</v>
      </c>
      <c r="D395">
        <v>5</v>
      </c>
      <c r="F395" s="7">
        <f t="shared" si="6"/>
        <v>-5</v>
      </c>
      <c r="G395" s="6" t="s">
        <v>13</v>
      </c>
      <c r="H395" s="6" t="str">
        <f>_xlfn.XLOOKUP(Transactions[[#This Row],[Sub-category]],TblDV[Sub-category],TblDV[Category],"")</f>
        <v>Dining Out</v>
      </c>
      <c r="I395" s="6" t="str">
        <f>_xlfn.XLOOKUP(Transactions[[#This Row],[Sub-category]],TblDV[Sub-category],TblDV[Category Type],"")</f>
        <v>Expense</v>
      </c>
    </row>
    <row r="396" spans="1:9">
      <c r="A396" t="s">
        <v>4</v>
      </c>
      <c r="B396" s="5">
        <v>44444</v>
      </c>
      <c r="C396" t="s">
        <v>12</v>
      </c>
      <c r="D396">
        <v>5</v>
      </c>
      <c r="F396" s="7">
        <f t="shared" si="6"/>
        <v>-5</v>
      </c>
      <c r="G396" s="6" t="s">
        <v>13</v>
      </c>
      <c r="H396" s="6" t="str">
        <f>_xlfn.XLOOKUP(Transactions[[#This Row],[Sub-category]],TblDV[Sub-category],TblDV[Category],"")</f>
        <v>Dining Out</v>
      </c>
      <c r="I396" s="6" t="str">
        <f>_xlfn.XLOOKUP(Transactions[[#This Row],[Sub-category]],TblDV[Sub-category],TblDV[Category Type],"")</f>
        <v>Expense</v>
      </c>
    </row>
    <row r="397" spans="1:9">
      <c r="A397" t="s">
        <v>4</v>
      </c>
      <c r="B397" s="5">
        <v>44445</v>
      </c>
      <c r="C397" t="s">
        <v>12</v>
      </c>
      <c r="D397">
        <v>5</v>
      </c>
      <c r="F397" s="7">
        <f t="shared" si="6"/>
        <v>-5</v>
      </c>
      <c r="G397" s="6" t="s">
        <v>13</v>
      </c>
      <c r="H397" s="6" t="str">
        <f>_xlfn.XLOOKUP(Transactions[[#This Row],[Sub-category]],TblDV[Sub-category],TblDV[Category],"")</f>
        <v>Dining Out</v>
      </c>
      <c r="I397" s="6" t="str">
        <f>_xlfn.XLOOKUP(Transactions[[#This Row],[Sub-category]],TblDV[Sub-category],TblDV[Category Type],"")</f>
        <v>Expense</v>
      </c>
    </row>
    <row r="398" spans="1:9">
      <c r="A398" t="s">
        <v>4</v>
      </c>
      <c r="B398" s="5">
        <v>44446</v>
      </c>
      <c r="C398" t="s">
        <v>12</v>
      </c>
      <c r="D398">
        <v>5</v>
      </c>
      <c r="F398" s="7">
        <f t="shared" si="6"/>
        <v>-5</v>
      </c>
      <c r="G398" s="6" t="s">
        <v>13</v>
      </c>
      <c r="H398" s="6" t="str">
        <f>_xlfn.XLOOKUP(Transactions[[#This Row],[Sub-category]],TblDV[Sub-category],TblDV[Category],"")</f>
        <v>Dining Out</v>
      </c>
      <c r="I398" s="6" t="str">
        <f>_xlfn.XLOOKUP(Transactions[[#This Row],[Sub-category]],TblDV[Sub-category],TblDV[Category Type],"")</f>
        <v>Expense</v>
      </c>
    </row>
    <row r="399" spans="1:9">
      <c r="A399" t="s">
        <v>4</v>
      </c>
      <c r="B399" s="5">
        <v>44446</v>
      </c>
      <c r="C399" t="s">
        <v>18</v>
      </c>
      <c r="D399">
        <v>163.4</v>
      </c>
      <c r="F399" s="7">
        <f t="shared" si="6"/>
        <v>-163.4</v>
      </c>
      <c r="G399" s="6" t="s">
        <v>19</v>
      </c>
      <c r="H399" s="6" t="str">
        <f>_xlfn.XLOOKUP(Transactions[[#This Row],[Sub-category]],TblDV[Sub-category],TblDV[Category],"")</f>
        <v>Living Expenses</v>
      </c>
      <c r="I399" s="6" t="str">
        <f>_xlfn.XLOOKUP(Transactions[[#This Row],[Sub-category]],TblDV[Sub-category],TblDV[Category Type],"")</f>
        <v>Expense</v>
      </c>
    </row>
    <row r="400" spans="1:9">
      <c r="A400" t="s">
        <v>9</v>
      </c>
      <c r="B400" s="5">
        <v>44449</v>
      </c>
      <c r="C400" t="s">
        <v>20</v>
      </c>
      <c r="D400">
        <v>58.1</v>
      </c>
      <c r="F400" s="7">
        <f t="shared" si="6"/>
        <v>-58.1</v>
      </c>
      <c r="G400" s="6" t="s">
        <v>21</v>
      </c>
      <c r="H400" s="6" t="str">
        <f>_xlfn.XLOOKUP(Transactions[[#This Row],[Sub-category]],TblDV[Sub-category],TblDV[Category],"")</f>
        <v>Living Expenses</v>
      </c>
      <c r="I400" s="6" t="str">
        <f>_xlfn.XLOOKUP(Transactions[[#This Row],[Sub-category]],TblDV[Sub-category],TblDV[Category Type],"")</f>
        <v>Expense</v>
      </c>
    </row>
    <row r="401" spans="1:9">
      <c r="A401" t="s">
        <v>4</v>
      </c>
      <c r="B401" s="5">
        <v>44449</v>
      </c>
      <c r="C401" t="s">
        <v>12</v>
      </c>
      <c r="D401">
        <v>5</v>
      </c>
      <c r="F401" s="7">
        <f t="shared" si="6"/>
        <v>-5</v>
      </c>
      <c r="G401" s="6" t="s">
        <v>13</v>
      </c>
      <c r="H401" s="6" t="str">
        <f>_xlfn.XLOOKUP(Transactions[[#This Row],[Sub-category]],TblDV[Sub-category],TblDV[Category],"")</f>
        <v>Dining Out</v>
      </c>
      <c r="I401" s="6" t="str">
        <f>_xlfn.XLOOKUP(Transactions[[#This Row],[Sub-category]],TblDV[Sub-category],TblDV[Category Type],"")</f>
        <v>Expense</v>
      </c>
    </row>
    <row r="402" spans="1:9">
      <c r="A402" t="s">
        <v>4</v>
      </c>
      <c r="B402" s="5">
        <v>44450</v>
      </c>
      <c r="C402" t="s">
        <v>12</v>
      </c>
      <c r="D402">
        <v>5</v>
      </c>
      <c r="F402" s="7">
        <f t="shared" si="6"/>
        <v>-5</v>
      </c>
      <c r="G402" s="6" t="s">
        <v>13</v>
      </c>
      <c r="H402" s="6" t="str">
        <f>_xlfn.XLOOKUP(Transactions[[#This Row],[Sub-category]],TblDV[Sub-category],TblDV[Category],"")</f>
        <v>Dining Out</v>
      </c>
      <c r="I402" s="6" t="str">
        <f>_xlfn.XLOOKUP(Transactions[[#This Row],[Sub-category]],TblDV[Sub-category],TblDV[Category Type],"")</f>
        <v>Expense</v>
      </c>
    </row>
    <row r="403" spans="1:9">
      <c r="A403" t="s">
        <v>4</v>
      </c>
      <c r="B403" s="5">
        <v>44451</v>
      </c>
      <c r="C403" t="s">
        <v>22</v>
      </c>
      <c r="D403">
        <v>85.3</v>
      </c>
      <c r="F403" s="7">
        <f t="shared" si="6"/>
        <v>-85.3</v>
      </c>
      <c r="G403" s="6" t="s">
        <v>23</v>
      </c>
      <c r="H403" s="6" t="str">
        <f>_xlfn.XLOOKUP(Transactions[[#This Row],[Sub-category]],TblDV[Sub-category],TblDV[Category],"")</f>
        <v>Transport</v>
      </c>
      <c r="I403" s="6" t="str">
        <f>_xlfn.XLOOKUP(Transactions[[#This Row],[Sub-category]],TblDV[Sub-category],TblDV[Category Type],"")</f>
        <v>Expense</v>
      </c>
    </row>
    <row r="404" spans="1:9">
      <c r="A404" t="s">
        <v>4</v>
      </c>
      <c r="B404" s="5">
        <v>44451</v>
      </c>
      <c r="C404" t="s">
        <v>12</v>
      </c>
      <c r="D404">
        <v>5</v>
      </c>
      <c r="F404" s="7">
        <f t="shared" si="6"/>
        <v>-5</v>
      </c>
      <c r="G404" s="6" t="s">
        <v>13</v>
      </c>
      <c r="H404" s="6" t="str">
        <f>_xlfn.XLOOKUP(Transactions[[#This Row],[Sub-category]],TblDV[Sub-category],TblDV[Category],"")</f>
        <v>Dining Out</v>
      </c>
      <c r="I404" s="6" t="str">
        <f>_xlfn.XLOOKUP(Transactions[[#This Row],[Sub-category]],TblDV[Sub-category],TblDV[Category Type],"")</f>
        <v>Expense</v>
      </c>
    </row>
    <row r="405" spans="1:9">
      <c r="A405" t="s">
        <v>4</v>
      </c>
      <c r="B405" s="5">
        <v>44452</v>
      </c>
      <c r="C405" t="s">
        <v>12</v>
      </c>
      <c r="D405">
        <v>5</v>
      </c>
      <c r="F405" s="7">
        <f t="shared" si="6"/>
        <v>-5</v>
      </c>
      <c r="G405" s="6" t="s">
        <v>13</v>
      </c>
      <c r="H405" s="6" t="str">
        <f>_xlfn.XLOOKUP(Transactions[[#This Row],[Sub-category]],TblDV[Sub-category],TblDV[Category],"")</f>
        <v>Dining Out</v>
      </c>
      <c r="I405" s="6" t="str">
        <f>_xlfn.XLOOKUP(Transactions[[#This Row],[Sub-category]],TblDV[Sub-category],TblDV[Category Type],"")</f>
        <v>Expense</v>
      </c>
    </row>
    <row r="406" spans="1:9">
      <c r="A406" t="s">
        <v>4</v>
      </c>
      <c r="B406" s="5">
        <v>44453</v>
      </c>
      <c r="C406" t="s">
        <v>18</v>
      </c>
      <c r="D406">
        <v>143</v>
      </c>
      <c r="F406" s="7">
        <f t="shared" si="6"/>
        <v>-143</v>
      </c>
      <c r="G406" s="6" t="s">
        <v>19</v>
      </c>
      <c r="H406" s="6" t="str">
        <f>_xlfn.XLOOKUP(Transactions[[#This Row],[Sub-category]],TblDV[Sub-category],TblDV[Category],"")</f>
        <v>Living Expenses</v>
      </c>
      <c r="I406" s="6" t="str">
        <f>_xlfn.XLOOKUP(Transactions[[#This Row],[Sub-category]],TblDV[Sub-category],TblDV[Category Type],"")</f>
        <v>Expense</v>
      </c>
    </row>
    <row r="407" spans="1:9">
      <c r="A407" t="s">
        <v>4</v>
      </c>
      <c r="B407" s="5">
        <v>44453</v>
      </c>
      <c r="C407" t="s">
        <v>12</v>
      </c>
      <c r="D407">
        <v>5</v>
      </c>
      <c r="F407" s="7">
        <f t="shared" si="6"/>
        <v>-5</v>
      </c>
      <c r="G407" s="6" t="s">
        <v>13</v>
      </c>
      <c r="H407" s="6" t="str">
        <f>_xlfn.XLOOKUP(Transactions[[#This Row],[Sub-category]],TblDV[Sub-category],TblDV[Category],"")</f>
        <v>Dining Out</v>
      </c>
      <c r="I407" s="6" t="str">
        <f>_xlfn.XLOOKUP(Transactions[[#This Row],[Sub-category]],TblDV[Sub-category],TblDV[Category Type],"")</f>
        <v>Expense</v>
      </c>
    </row>
    <row r="408" spans="1:9">
      <c r="A408" t="s">
        <v>4</v>
      </c>
      <c r="B408" s="5">
        <v>44454</v>
      </c>
      <c r="C408" t="s">
        <v>12</v>
      </c>
      <c r="D408">
        <v>5</v>
      </c>
      <c r="F408" s="7">
        <f t="shared" si="6"/>
        <v>-5</v>
      </c>
      <c r="G408" s="6" t="s">
        <v>13</v>
      </c>
      <c r="H408" s="6" t="str">
        <f>_xlfn.XLOOKUP(Transactions[[#This Row],[Sub-category]],TblDV[Sub-category],TblDV[Category],"")</f>
        <v>Dining Out</v>
      </c>
      <c r="I408" s="6" t="str">
        <f>_xlfn.XLOOKUP(Transactions[[#This Row],[Sub-category]],TblDV[Sub-category],TblDV[Category Type],"")</f>
        <v>Expense</v>
      </c>
    </row>
    <row r="409" spans="1:9">
      <c r="A409" t="s">
        <v>4</v>
      </c>
      <c r="B409" s="5">
        <v>44454</v>
      </c>
      <c r="C409" t="s">
        <v>24</v>
      </c>
      <c r="D409">
        <v>47.8</v>
      </c>
      <c r="F409" s="7">
        <f t="shared" si="6"/>
        <v>-47.8</v>
      </c>
      <c r="G409" s="6" t="s">
        <v>25</v>
      </c>
      <c r="H409" s="6" t="str">
        <f>_xlfn.XLOOKUP(Transactions[[#This Row],[Sub-category]],TblDV[Sub-category],TblDV[Category],"")</f>
        <v>Discretionary</v>
      </c>
      <c r="I409" s="6" t="str">
        <f>_xlfn.XLOOKUP(Transactions[[#This Row],[Sub-category]],TblDV[Sub-category],TblDV[Category Type],"")</f>
        <v>Expense</v>
      </c>
    </row>
    <row r="410" spans="1:9">
      <c r="A410" t="s">
        <v>4</v>
      </c>
      <c r="B410" s="5">
        <v>44454</v>
      </c>
      <c r="C410" t="s">
        <v>26</v>
      </c>
      <c r="D410">
        <v>105.8</v>
      </c>
      <c r="F410" s="7">
        <f t="shared" si="6"/>
        <v>-105.8</v>
      </c>
      <c r="G410" s="6" t="s">
        <v>27</v>
      </c>
      <c r="H410" s="6" t="str">
        <f>_xlfn.XLOOKUP(Transactions[[#This Row],[Sub-category]],TblDV[Sub-category],TblDV[Category],"")</f>
        <v>Discretionary</v>
      </c>
      <c r="I410" s="6" t="str">
        <f>_xlfn.XLOOKUP(Transactions[[#This Row],[Sub-category]],TblDV[Sub-category],TblDV[Category Type],"")</f>
        <v>Expense</v>
      </c>
    </row>
    <row r="411" spans="1:9">
      <c r="A411" t="s">
        <v>4</v>
      </c>
      <c r="B411" s="5">
        <v>44454</v>
      </c>
      <c r="C411" t="s">
        <v>28</v>
      </c>
      <c r="D411">
        <v>60.1</v>
      </c>
      <c r="F411" s="7">
        <f t="shared" si="6"/>
        <v>-60.1</v>
      </c>
      <c r="G411" s="6" t="s">
        <v>29</v>
      </c>
      <c r="H411" s="6" t="str">
        <f>_xlfn.XLOOKUP(Transactions[[#This Row],[Sub-category]],TblDV[Sub-category],TblDV[Category],"")</f>
        <v>Dining Out</v>
      </c>
      <c r="I411" s="6" t="str">
        <f>_xlfn.XLOOKUP(Transactions[[#This Row],[Sub-category]],TblDV[Sub-category],TblDV[Category Type],"")</f>
        <v>Expense</v>
      </c>
    </row>
    <row r="412" spans="1:9">
      <c r="A412" t="s">
        <v>4</v>
      </c>
      <c r="B412" s="5">
        <v>44455</v>
      </c>
      <c r="C412" t="s">
        <v>30</v>
      </c>
      <c r="D412">
        <v>36.2</v>
      </c>
      <c r="F412" s="7">
        <f t="shared" si="6"/>
        <v>-36.2</v>
      </c>
      <c r="G412" s="6" t="s">
        <v>31</v>
      </c>
      <c r="H412" s="6" t="str">
        <f>_xlfn.XLOOKUP(Transactions[[#This Row],[Sub-category]],TblDV[Sub-category],TblDV[Category],"")</f>
        <v>Transport</v>
      </c>
      <c r="I412" s="6" t="str">
        <f>_xlfn.XLOOKUP(Transactions[[#This Row],[Sub-category]],TblDV[Sub-category],TblDV[Category Type],"")</f>
        <v>Expense</v>
      </c>
    </row>
    <row r="413" spans="1:9">
      <c r="A413" t="s">
        <v>9</v>
      </c>
      <c r="B413" s="5">
        <v>44456</v>
      </c>
      <c r="C413" t="s">
        <v>32</v>
      </c>
      <c r="D413">
        <v>30</v>
      </c>
      <c r="F413" s="7">
        <f t="shared" si="6"/>
        <v>-30</v>
      </c>
      <c r="G413" s="6" t="s">
        <v>33</v>
      </c>
      <c r="H413" s="6" t="str">
        <f>_xlfn.XLOOKUP(Transactions[[#This Row],[Sub-category]],TblDV[Sub-category],TblDV[Category],"")</f>
        <v>Discretionary</v>
      </c>
      <c r="I413" s="6" t="str">
        <f>_xlfn.XLOOKUP(Transactions[[#This Row],[Sub-category]],TblDV[Sub-category],TblDV[Category Type],"")</f>
        <v>Expense</v>
      </c>
    </row>
    <row r="414" spans="1:9">
      <c r="A414" t="s">
        <v>4</v>
      </c>
      <c r="B414" s="5">
        <v>44456</v>
      </c>
      <c r="C414" t="s">
        <v>12</v>
      </c>
      <c r="D414">
        <v>5</v>
      </c>
      <c r="F414" s="7">
        <f t="shared" si="6"/>
        <v>-5</v>
      </c>
      <c r="G414" s="6" t="s">
        <v>13</v>
      </c>
      <c r="H414" s="6" t="str">
        <f>_xlfn.XLOOKUP(Transactions[[#This Row],[Sub-category]],TblDV[Sub-category],TblDV[Category],"")</f>
        <v>Dining Out</v>
      </c>
      <c r="I414" s="6" t="str">
        <f>_xlfn.XLOOKUP(Transactions[[#This Row],[Sub-category]],TblDV[Sub-category],TblDV[Category Type],"")</f>
        <v>Expense</v>
      </c>
    </row>
    <row r="415" spans="1:9">
      <c r="A415" t="s">
        <v>4</v>
      </c>
      <c r="B415" s="5">
        <v>44457</v>
      </c>
      <c r="C415" t="s">
        <v>12</v>
      </c>
      <c r="D415">
        <v>5</v>
      </c>
      <c r="F415" s="7">
        <f t="shared" si="6"/>
        <v>-5</v>
      </c>
      <c r="G415" s="6" t="s">
        <v>13</v>
      </c>
      <c r="H415" s="6" t="str">
        <f>_xlfn.XLOOKUP(Transactions[[#This Row],[Sub-category]],TblDV[Sub-category],TblDV[Category],"")</f>
        <v>Dining Out</v>
      </c>
      <c r="I415" s="6" t="str">
        <f>_xlfn.XLOOKUP(Transactions[[#This Row],[Sub-category]],TblDV[Sub-category],TblDV[Category Type],"")</f>
        <v>Expense</v>
      </c>
    </row>
    <row r="416" spans="1:9">
      <c r="A416" t="s">
        <v>9</v>
      </c>
      <c r="B416" s="5">
        <v>44457</v>
      </c>
      <c r="C416" t="s">
        <v>36</v>
      </c>
      <c r="D416">
        <v>40</v>
      </c>
      <c r="F416" s="7">
        <f t="shared" si="6"/>
        <v>-40</v>
      </c>
      <c r="G416" s="6" t="s">
        <v>37</v>
      </c>
      <c r="H416" s="6" t="str">
        <f>_xlfn.XLOOKUP(Transactions[[#This Row],[Sub-category]],TblDV[Sub-category],TblDV[Category],"")</f>
        <v>Living Expenses</v>
      </c>
      <c r="I416" s="6" t="str">
        <f>_xlfn.XLOOKUP(Transactions[[#This Row],[Sub-category]],TblDV[Sub-category],TblDV[Category Type],"")</f>
        <v>Expense</v>
      </c>
    </row>
    <row r="417" spans="1:9">
      <c r="A417" t="s">
        <v>4</v>
      </c>
      <c r="B417" s="5">
        <v>44458</v>
      </c>
      <c r="C417" t="s">
        <v>38</v>
      </c>
      <c r="D417">
        <v>53</v>
      </c>
      <c r="F417" s="7">
        <f t="shared" si="6"/>
        <v>-53</v>
      </c>
      <c r="G417" s="6" t="s">
        <v>39</v>
      </c>
      <c r="H417" s="6" t="str">
        <f>_xlfn.XLOOKUP(Transactions[[#This Row],[Sub-category]],TblDV[Sub-category],TblDV[Category],"")</f>
        <v>Discretionary</v>
      </c>
      <c r="I417" s="6" t="str">
        <f>_xlfn.XLOOKUP(Transactions[[#This Row],[Sub-category]],TblDV[Sub-category],TblDV[Category Type],"")</f>
        <v>Expense</v>
      </c>
    </row>
    <row r="418" spans="1:9">
      <c r="A418" t="s">
        <v>4</v>
      </c>
      <c r="B418" s="5">
        <v>44458</v>
      </c>
      <c r="C418" t="s">
        <v>40</v>
      </c>
      <c r="D418">
        <v>35</v>
      </c>
      <c r="F418" s="7">
        <f t="shared" si="6"/>
        <v>-35</v>
      </c>
      <c r="G418" s="6" t="s">
        <v>25</v>
      </c>
      <c r="H418" s="6" t="str">
        <f>_xlfn.XLOOKUP(Transactions[[#This Row],[Sub-category]],TblDV[Sub-category],TblDV[Category],"")</f>
        <v>Discretionary</v>
      </c>
      <c r="I418" s="6" t="str">
        <f>_xlfn.XLOOKUP(Transactions[[#This Row],[Sub-category]],TblDV[Sub-category],TblDV[Category Type],"")</f>
        <v>Expense</v>
      </c>
    </row>
    <row r="419" spans="1:9">
      <c r="A419" t="s">
        <v>4</v>
      </c>
      <c r="B419" s="5">
        <v>44458</v>
      </c>
      <c r="C419" t="s">
        <v>12</v>
      </c>
      <c r="D419">
        <v>5</v>
      </c>
      <c r="F419" s="7">
        <f t="shared" si="6"/>
        <v>-5</v>
      </c>
      <c r="G419" s="6" t="s">
        <v>13</v>
      </c>
      <c r="H419" s="6" t="str">
        <f>_xlfn.XLOOKUP(Transactions[[#This Row],[Sub-category]],TblDV[Sub-category],TblDV[Category],"")</f>
        <v>Dining Out</v>
      </c>
      <c r="I419" s="6" t="str">
        <f>_xlfn.XLOOKUP(Transactions[[#This Row],[Sub-category]],TblDV[Sub-category],TblDV[Category Type],"")</f>
        <v>Expense</v>
      </c>
    </row>
    <row r="420" spans="1:9">
      <c r="A420" t="s">
        <v>4</v>
      </c>
      <c r="B420" s="5">
        <v>44459</v>
      </c>
      <c r="C420" t="s">
        <v>12</v>
      </c>
      <c r="D420">
        <v>5</v>
      </c>
      <c r="F420" s="7">
        <f t="shared" si="6"/>
        <v>-5</v>
      </c>
      <c r="G420" s="6" t="s">
        <v>13</v>
      </c>
      <c r="H420" s="6" t="str">
        <f>_xlfn.XLOOKUP(Transactions[[#This Row],[Sub-category]],TblDV[Sub-category],TblDV[Category],"")</f>
        <v>Dining Out</v>
      </c>
      <c r="I420" s="6" t="str">
        <f>_xlfn.XLOOKUP(Transactions[[#This Row],[Sub-category]],TblDV[Sub-category],TblDV[Category Type],"")</f>
        <v>Expense</v>
      </c>
    </row>
    <row r="421" spans="1:9">
      <c r="A421" t="s">
        <v>4</v>
      </c>
      <c r="B421" s="5">
        <v>44460</v>
      </c>
      <c r="C421" t="s">
        <v>12</v>
      </c>
      <c r="D421">
        <v>5</v>
      </c>
      <c r="F421" s="7">
        <f t="shared" si="6"/>
        <v>-5</v>
      </c>
      <c r="G421" s="6" t="s">
        <v>13</v>
      </c>
      <c r="H421" s="6" t="str">
        <f>_xlfn.XLOOKUP(Transactions[[#This Row],[Sub-category]],TblDV[Sub-category],TblDV[Category],"")</f>
        <v>Dining Out</v>
      </c>
      <c r="I421" s="6" t="str">
        <f>_xlfn.XLOOKUP(Transactions[[#This Row],[Sub-category]],TblDV[Sub-category],TblDV[Category Type],"")</f>
        <v>Expense</v>
      </c>
    </row>
    <row r="422" spans="1:9">
      <c r="A422" t="s">
        <v>4</v>
      </c>
      <c r="B422" s="5">
        <v>44460</v>
      </c>
      <c r="C422" t="s">
        <v>18</v>
      </c>
      <c r="D422">
        <v>177.9</v>
      </c>
      <c r="F422" s="7">
        <f t="shared" si="6"/>
        <v>-177.9</v>
      </c>
      <c r="G422" s="6" t="s">
        <v>19</v>
      </c>
      <c r="H422" s="6" t="str">
        <f>_xlfn.XLOOKUP(Transactions[[#This Row],[Sub-category]],TblDV[Sub-category],TblDV[Category],"")</f>
        <v>Living Expenses</v>
      </c>
      <c r="I422" s="6" t="str">
        <f>_xlfn.XLOOKUP(Transactions[[#This Row],[Sub-category]],TblDV[Sub-category],TblDV[Category Type],"")</f>
        <v>Expense</v>
      </c>
    </row>
    <row r="423" spans="1:9">
      <c r="A423" t="s">
        <v>4</v>
      </c>
      <c r="B423" s="5">
        <v>44461</v>
      </c>
      <c r="C423" t="s">
        <v>41</v>
      </c>
      <c r="D423">
        <v>45.3</v>
      </c>
      <c r="F423" s="7">
        <f t="shared" si="6"/>
        <v>-45.3</v>
      </c>
      <c r="G423" s="6" t="s">
        <v>29</v>
      </c>
      <c r="H423" s="6" t="str">
        <f>_xlfn.XLOOKUP(Transactions[[#This Row],[Sub-category]],TblDV[Sub-category],TblDV[Category],"")</f>
        <v>Dining Out</v>
      </c>
      <c r="I423" s="6" t="str">
        <f>_xlfn.XLOOKUP(Transactions[[#This Row],[Sub-category]],TblDV[Sub-category],TblDV[Category Type],"")</f>
        <v>Expense</v>
      </c>
    </row>
    <row r="424" spans="1:9">
      <c r="A424" t="s">
        <v>4</v>
      </c>
      <c r="B424" s="5">
        <v>44462</v>
      </c>
      <c r="C424" t="s">
        <v>42</v>
      </c>
      <c r="D424">
        <v>20.1</v>
      </c>
      <c r="F424" s="7">
        <f t="shared" si="6"/>
        <v>-20.1</v>
      </c>
      <c r="G424" s="6" t="s">
        <v>29</v>
      </c>
      <c r="H424" s="6" t="str">
        <f>_xlfn.XLOOKUP(Transactions[[#This Row],[Sub-category]],TblDV[Sub-category],TblDV[Category],"")</f>
        <v>Dining Out</v>
      </c>
      <c r="I424" s="6" t="str">
        <f>_xlfn.XLOOKUP(Transactions[[#This Row],[Sub-category]],TblDV[Sub-category],TblDV[Category Type],"")</f>
        <v>Expense</v>
      </c>
    </row>
    <row r="425" spans="1:9">
      <c r="A425" t="s">
        <v>9</v>
      </c>
      <c r="B425" s="5">
        <v>44463</v>
      </c>
      <c r="C425" t="s">
        <v>43</v>
      </c>
      <c r="D425">
        <v>55</v>
      </c>
      <c r="F425" s="7">
        <f t="shared" si="6"/>
        <v>-55</v>
      </c>
      <c r="G425" s="6" t="s">
        <v>44</v>
      </c>
      <c r="H425" s="6" t="str">
        <f>_xlfn.XLOOKUP(Transactions[[#This Row],[Sub-category]],TblDV[Sub-category],TblDV[Category],"")</f>
        <v>Charity</v>
      </c>
      <c r="I425" s="6" t="str">
        <f>_xlfn.XLOOKUP(Transactions[[#This Row],[Sub-category]],TblDV[Sub-category],TblDV[Category Type],"")</f>
        <v>Expense</v>
      </c>
    </row>
    <row r="426" spans="1:9">
      <c r="A426" t="s">
        <v>4</v>
      </c>
      <c r="B426" s="5">
        <v>44463</v>
      </c>
      <c r="C426" t="s">
        <v>22</v>
      </c>
      <c r="D426">
        <v>70.6</v>
      </c>
      <c r="F426" s="7">
        <f t="shared" si="6"/>
        <v>-70.6</v>
      </c>
      <c r="G426" s="6" t="s">
        <v>23</v>
      </c>
      <c r="H426" s="6" t="str">
        <f>_xlfn.XLOOKUP(Transactions[[#This Row],[Sub-category]],TblDV[Sub-category],TblDV[Category],"")</f>
        <v>Transport</v>
      </c>
      <c r="I426" s="6" t="str">
        <f>_xlfn.XLOOKUP(Transactions[[#This Row],[Sub-category]],TblDV[Sub-category],TblDV[Category Type],"")</f>
        <v>Expense</v>
      </c>
    </row>
    <row r="427" spans="1:9">
      <c r="A427" t="s">
        <v>4</v>
      </c>
      <c r="B427" s="5">
        <v>44463</v>
      </c>
      <c r="C427" t="s">
        <v>12</v>
      </c>
      <c r="D427">
        <v>5</v>
      </c>
      <c r="F427" s="7">
        <f t="shared" si="6"/>
        <v>-5</v>
      </c>
      <c r="G427" s="6" t="s">
        <v>13</v>
      </c>
      <c r="H427" s="6" t="str">
        <f>_xlfn.XLOOKUP(Transactions[[#This Row],[Sub-category]],TblDV[Sub-category],TblDV[Category],"")</f>
        <v>Dining Out</v>
      </c>
      <c r="I427" s="6" t="str">
        <f>_xlfn.XLOOKUP(Transactions[[#This Row],[Sub-category]],TblDV[Sub-category],TblDV[Category Type],"")</f>
        <v>Expense</v>
      </c>
    </row>
    <row r="428" spans="1:9">
      <c r="A428" t="s">
        <v>4</v>
      </c>
      <c r="B428" s="5">
        <v>44464</v>
      </c>
      <c r="C428" t="s">
        <v>12</v>
      </c>
      <c r="D428">
        <v>5</v>
      </c>
      <c r="F428" s="7">
        <f t="shared" si="6"/>
        <v>-5</v>
      </c>
      <c r="G428" s="6" t="s">
        <v>13</v>
      </c>
      <c r="H428" s="6" t="str">
        <f>_xlfn.XLOOKUP(Transactions[[#This Row],[Sub-category]],TblDV[Sub-category],TblDV[Category],"")</f>
        <v>Dining Out</v>
      </c>
      <c r="I428" s="6" t="str">
        <f>_xlfn.XLOOKUP(Transactions[[#This Row],[Sub-category]],TblDV[Sub-category],TblDV[Category Type],"")</f>
        <v>Expense</v>
      </c>
    </row>
    <row r="429" spans="1:9">
      <c r="A429" t="s">
        <v>4</v>
      </c>
      <c r="B429" s="5">
        <v>44465</v>
      </c>
      <c r="C429" t="s">
        <v>12</v>
      </c>
      <c r="D429">
        <v>5</v>
      </c>
      <c r="F429" s="7">
        <f t="shared" si="6"/>
        <v>-5</v>
      </c>
      <c r="G429" s="6" t="s">
        <v>13</v>
      </c>
      <c r="H429" s="6" t="str">
        <f>_xlfn.XLOOKUP(Transactions[[#This Row],[Sub-category]],TblDV[Sub-category],TblDV[Category],"")</f>
        <v>Dining Out</v>
      </c>
      <c r="I429" s="6" t="str">
        <f>_xlfn.XLOOKUP(Transactions[[#This Row],[Sub-category]],TblDV[Sub-category],TblDV[Category Type],"")</f>
        <v>Expense</v>
      </c>
    </row>
    <row r="430" spans="1:9">
      <c r="A430" t="s">
        <v>4</v>
      </c>
      <c r="B430" s="5">
        <v>44466</v>
      </c>
      <c r="C430" t="s">
        <v>12</v>
      </c>
      <c r="D430">
        <v>5</v>
      </c>
      <c r="F430" s="7">
        <f t="shared" si="6"/>
        <v>-5</v>
      </c>
      <c r="G430" s="6" t="s">
        <v>13</v>
      </c>
      <c r="H430" s="6" t="str">
        <f>_xlfn.XLOOKUP(Transactions[[#This Row],[Sub-category]],TblDV[Sub-category],TblDV[Category],"")</f>
        <v>Dining Out</v>
      </c>
      <c r="I430" s="6" t="str">
        <f>_xlfn.XLOOKUP(Transactions[[#This Row],[Sub-category]],TblDV[Sub-category],TblDV[Category Type],"")</f>
        <v>Expense</v>
      </c>
    </row>
    <row r="431" spans="1:9">
      <c r="A431" t="s">
        <v>4</v>
      </c>
      <c r="B431" s="5">
        <v>44467</v>
      </c>
      <c r="C431" t="s">
        <v>12</v>
      </c>
      <c r="D431">
        <v>5</v>
      </c>
      <c r="F431" s="7">
        <f t="shared" si="6"/>
        <v>-5</v>
      </c>
      <c r="G431" s="6" t="s">
        <v>13</v>
      </c>
      <c r="H431" s="6" t="str">
        <f>_xlfn.XLOOKUP(Transactions[[#This Row],[Sub-category]],TblDV[Sub-category],TblDV[Category],"")</f>
        <v>Dining Out</v>
      </c>
      <c r="I431" s="6" t="str">
        <f>_xlfn.XLOOKUP(Transactions[[#This Row],[Sub-category]],TblDV[Sub-category],TblDV[Category Type],"")</f>
        <v>Expense</v>
      </c>
    </row>
    <row r="432" spans="1:9">
      <c r="A432" t="s">
        <v>4</v>
      </c>
      <c r="B432" s="5">
        <v>44467</v>
      </c>
      <c r="C432" t="s">
        <v>18</v>
      </c>
      <c r="D432">
        <v>223</v>
      </c>
      <c r="F432" s="7">
        <f t="shared" si="6"/>
        <v>-223</v>
      </c>
      <c r="G432" s="6" t="s">
        <v>19</v>
      </c>
      <c r="H432" s="6" t="str">
        <f>_xlfn.XLOOKUP(Transactions[[#This Row],[Sub-category]],TblDV[Sub-category],TblDV[Category],"")</f>
        <v>Living Expenses</v>
      </c>
      <c r="I432" s="6" t="str">
        <f>_xlfn.XLOOKUP(Transactions[[#This Row],[Sub-category]],TblDV[Sub-category],TblDV[Category Type],"")</f>
        <v>Expense</v>
      </c>
    </row>
    <row r="433" spans="1:9">
      <c r="A433" t="s">
        <v>4</v>
      </c>
      <c r="B433" s="5">
        <v>44468</v>
      </c>
      <c r="C433" t="s">
        <v>45</v>
      </c>
      <c r="D433">
        <v>132.9</v>
      </c>
      <c r="F433" s="7">
        <f t="shared" si="6"/>
        <v>-132.9</v>
      </c>
      <c r="G433" s="6" t="s">
        <v>27</v>
      </c>
      <c r="H433" s="6" t="str">
        <f>_xlfn.XLOOKUP(Transactions[[#This Row],[Sub-category]],TblDV[Sub-category],TblDV[Category],"")</f>
        <v>Discretionary</v>
      </c>
      <c r="I433" s="6" t="str">
        <f>_xlfn.XLOOKUP(Transactions[[#This Row],[Sub-category]],TblDV[Sub-category],TblDV[Category Type],"")</f>
        <v>Expense</v>
      </c>
    </row>
    <row r="434" spans="1:9">
      <c r="A434" t="s">
        <v>4</v>
      </c>
      <c r="B434" s="5">
        <v>44468</v>
      </c>
      <c r="C434" t="s">
        <v>47</v>
      </c>
      <c r="D434">
        <v>175</v>
      </c>
      <c r="F434" s="7">
        <f t="shared" si="6"/>
        <v>-175</v>
      </c>
      <c r="G434" s="6" t="s">
        <v>27</v>
      </c>
      <c r="H434" s="6" t="str">
        <f>_xlfn.XLOOKUP(Transactions[[#This Row],[Sub-category]],TblDV[Sub-category],TblDV[Category],"")</f>
        <v>Discretionary</v>
      </c>
      <c r="I434" s="6" t="str">
        <f>_xlfn.XLOOKUP(Transactions[[#This Row],[Sub-category]],TblDV[Sub-category],TblDV[Category Type],"")</f>
        <v>Expense</v>
      </c>
    </row>
    <row r="435" spans="1:9">
      <c r="A435" t="s">
        <v>4</v>
      </c>
      <c r="B435" s="5">
        <v>44469</v>
      </c>
      <c r="C435" t="s">
        <v>26</v>
      </c>
      <c r="D435">
        <v>153.4</v>
      </c>
      <c r="F435" s="7">
        <f t="shared" si="6"/>
        <v>-153.4</v>
      </c>
      <c r="G435" s="6" t="s">
        <v>27</v>
      </c>
      <c r="H435" s="6" t="str">
        <f>_xlfn.XLOOKUP(Transactions[[#This Row],[Sub-category]],TblDV[Sub-category],TblDV[Category],"")</f>
        <v>Discretionary</v>
      </c>
      <c r="I435" s="6" t="str">
        <f>_xlfn.XLOOKUP(Transactions[[#This Row],[Sub-category]],TblDV[Sub-category],TblDV[Category Type],"")</f>
        <v>Expense</v>
      </c>
    </row>
    <row r="436" spans="1:9">
      <c r="A436" t="s">
        <v>4</v>
      </c>
      <c r="B436" s="5">
        <v>44469</v>
      </c>
      <c r="C436" t="s">
        <v>30</v>
      </c>
      <c r="D436">
        <v>31.2</v>
      </c>
      <c r="F436" s="7">
        <f t="shared" si="6"/>
        <v>-31.2</v>
      </c>
      <c r="G436" s="6" t="s">
        <v>31</v>
      </c>
      <c r="H436" s="6" t="str">
        <f>_xlfn.XLOOKUP(Transactions[[#This Row],[Sub-category]],TblDV[Sub-category],TblDV[Category],"")</f>
        <v>Transport</v>
      </c>
      <c r="I436" s="6" t="str">
        <f>_xlfn.XLOOKUP(Transactions[[#This Row],[Sub-category]],TblDV[Sub-category],TblDV[Category Type],"")</f>
        <v>Expense</v>
      </c>
    </row>
    <row r="437" spans="1:9">
      <c r="A437" t="s">
        <v>4</v>
      </c>
      <c r="B437" s="5">
        <v>44469</v>
      </c>
      <c r="C437" t="s">
        <v>51</v>
      </c>
      <c r="D437">
        <v>15</v>
      </c>
      <c r="F437" s="7">
        <f t="shared" si="6"/>
        <v>-15</v>
      </c>
      <c r="G437" s="6" t="s">
        <v>29</v>
      </c>
      <c r="H437" s="6" t="str">
        <f>_xlfn.XLOOKUP(Transactions[[#This Row],[Sub-category]],TblDV[Sub-category],TblDV[Category],"")</f>
        <v>Dining Out</v>
      </c>
      <c r="I437" s="6" t="str">
        <f>_xlfn.XLOOKUP(Transactions[[#This Row],[Sub-category]],TblDV[Sub-category],TblDV[Category Type],"")</f>
        <v>Expense</v>
      </c>
    </row>
    <row r="438" spans="1:9">
      <c r="A438" t="s">
        <v>4</v>
      </c>
      <c r="B438" s="5">
        <v>44470</v>
      </c>
      <c r="C438" t="s">
        <v>12</v>
      </c>
      <c r="D438">
        <v>5</v>
      </c>
      <c r="F438" s="7">
        <f t="shared" si="6"/>
        <v>-5</v>
      </c>
      <c r="G438" s="6" t="s">
        <v>13</v>
      </c>
      <c r="H438" s="6" t="str">
        <f>_xlfn.XLOOKUP(Transactions[[#This Row],[Sub-category]],TblDV[Sub-category],TblDV[Category],"")</f>
        <v>Dining Out</v>
      </c>
      <c r="I438" s="6" t="str">
        <f>_xlfn.XLOOKUP(Transactions[[#This Row],[Sub-category]],TblDV[Sub-category],TblDV[Category Type],"")</f>
        <v>Expense</v>
      </c>
    </row>
    <row r="439" spans="1:9">
      <c r="A439" t="s">
        <v>4</v>
      </c>
      <c r="B439" s="5">
        <v>44472</v>
      </c>
      <c r="C439" t="s">
        <v>12</v>
      </c>
      <c r="D439">
        <v>5</v>
      </c>
      <c r="F439" s="7">
        <f t="shared" si="6"/>
        <v>-5</v>
      </c>
      <c r="G439" s="6" t="s">
        <v>13</v>
      </c>
      <c r="H439" s="6" t="str">
        <f>_xlfn.XLOOKUP(Transactions[[#This Row],[Sub-category]],TblDV[Sub-category],TblDV[Category],"")</f>
        <v>Dining Out</v>
      </c>
      <c r="I439" s="6" t="str">
        <f>_xlfn.XLOOKUP(Transactions[[#This Row],[Sub-category]],TblDV[Sub-category],TblDV[Category Type],"")</f>
        <v>Expense</v>
      </c>
    </row>
    <row r="440" spans="1:9">
      <c r="A440" t="s">
        <v>9</v>
      </c>
      <c r="B440" s="5">
        <v>44472</v>
      </c>
      <c r="C440" t="s">
        <v>10</v>
      </c>
      <c r="E440">
        <v>4000</v>
      </c>
      <c r="F440" s="7">
        <f t="shared" si="6"/>
        <v>4000</v>
      </c>
      <c r="G440" s="6" t="s">
        <v>11</v>
      </c>
      <c r="H440" s="6" t="str">
        <f>_xlfn.XLOOKUP(Transactions[[#This Row],[Sub-category]],TblDV[Sub-category],TblDV[Category],"")</f>
        <v>Salary</v>
      </c>
      <c r="I440" s="6" t="str">
        <f>_xlfn.XLOOKUP(Transactions[[#This Row],[Sub-category]],TblDV[Sub-category],TblDV[Category Type],"")</f>
        <v>Income</v>
      </c>
    </row>
    <row r="441" spans="1:9">
      <c r="A441" t="s">
        <v>4</v>
      </c>
      <c r="B441" s="5">
        <v>44473</v>
      </c>
      <c r="C441" t="s">
        <v>12</v>
      </c>
      <c r="D441">
        <v>5</v>
      </c>
      <c r="F441" s="7">
        <f t="shared" si="6"/>
        <v>-5</v>
      </c>
      <c r="G441" s="6" t="s">
        <v>13</v>
      </c>
      <c r="H441" s="6" t="str">
        <f>_xlfn.XLOOKUP(Transactions[[#This Row],[Sub-category]],TblDV[Sub-category],TblDV[Category],"")</f>
        <v>Dining Out</v>
      </c>
      <c r="I441" s="6" t="str">
        <f>_xlfn.XLOOKUP(Transactions[[#This Row],[Sub-category]],TblDV[Sub-category],TblDV[Category Type],"")</f>
        <v>Expense</v>
      </c>
    </row>
    <row r="442" spans="1:9">
      <c r="A442" t="s">
        <v>9</v>
      </c>
      <c r="B442" s="5">
        <v>44475</v>
      </c>
      <c r="C442" t="s">
        <v>14</v>
      </c>
      <c r="D442">
        <v>900</v>
      </c>
      <c r="F442" s="7">
        <f t="shared" si="6"/>
        <v>-900</v>
      </c>
      <c r="G442" s="6" t="s">
        <v>15</v>
      </c>
      <c r="H442" s="6" t="str">
        <f>_xlfn.XLOOKUP(Transactions[[#This Row],[Sub-category]],TblDV[Sub-category],TblDV[Category],"")</f>
        <v>Living Expenses</v>
      </c>
      <c r="I442" s="6" t="str">
        <f>_xlfn.XLOOKUP(Transactions[[#This Row],[Sub-category]],TblDV[Sub-category],TblDV[Category Type],"")</f>
        <v>Expense</v>
      </c>
    </row>
    <row r="443" spans="1:9">
      <c r="A443" t="s">
        <v>9</v>
      </c>
      <c r="B443" s="5">
        <v>44475</v>
      </c>
      <c r="C443" t="s">
        <v>16</v>
      </c>
      <c r="D443">
        <v>150</v>
      </c>
      <c r="F443" s="7">
        <f t="shared" si="6"/>
        <v>-150</v>
      </c>
      <c r="G443" s="6" t="s">
        <v>17</v>
      </c>
      <c r="H443" s="6" t="str">
        <f>_xlfn.XLOOKUP(Transactions[[#This Row],[Sub-category]],TblDV[Sub-category],TblDV[Category],"")</f>
        <v>Transport</v>
      </c>
      <c r="I443" s="6" t="str">
        <f>_xlfn.XLOOKUP(Transactions[[#This Row],[Sub-category]],TblDV[Sub-category],TblDV[Category Type],"")</f>
        <v>Expense</v>
      </c>
    </row>
    <row r="444" spans="1:9">
      <c r="A444" t="s">
        <v>4</v>
      </c>
      <c r="B444" s="5">
        <v>44475</v>
      </c>
      <c r="C444" t="s">
        <v>12</v>
      </c>
      <c r="D444">
        <v>5</v>
      </c>
      <c r="F444" s="7">
        <f t="shared" si="6"/>
        <v>-5</v>
      </c>
      <c r="G444" s="6" t="s">
        <v>13</v>
      </c>
      <c r="H444" s="6" t="str">
        <f>_xlfn.XLOOKUP(Transactions[[#This Row],[Sub-category]],TblDV[Sub-category],TblDV[Category],"")</f>
        <v>Dining Out</v>
      </c>
      <c r="I444" s="6" t="str">
        <f>_xlfn.XLOOKUP(Transactions[[#This Row],[Sub-category]],TblDV[Sub-category],TblDV[Category Type],"")</f>
        <v>Expense</v>
      </c>
    </row>
    <row r="445" spans="1:9">
      <c r="A445" t="s">
        <v>4</v>
      </c>
      <c r="B445" s="5">
        <v>44475</v>
      </c>
      <c r="C445" t="s">
        <v>12</v>
      </c>
      <c r="D445">
        <v>5</v>
      </c>
      <c r="F445" s="7">
        <f t="shared" si="6"/>
        <v>-5</v>
      </c>
      <c r="G445" s="6" t="s">
        <v>13</v>
      </c>
      <c r="H445" s="6" t="str">
        <f>_xlfn.XLOOKUP(Transactions[[#This Row],[Sub-category]],TblDV[Sub-category],TblDV[Category],"")</f>
        <v>Dining Out</v>
      </c>
      <c r="I445" s="6" t="str">
        <f>_xlfn.XLOOKUP(Transactions[[#This Row],[Sub-category]],TblDV[Sub-category],TblDV[Category Type],"")</f>
        <v>Expense</v>
      </c>
    </row>
    <row r="446" spans="1:9">
      <c r="A446" t="s">
        <v>4</v>
      </c>
      <c r="B446" s="5">
        <v>44476</v>
      </c>
      <c r="C446" t="s">
        <v>12</v>
      </c>
      <c r="D446">
        <v>5</v>
      </c>
      <c r="F446" s="7">
        <f t="shared" si="6"/>
        <v>-5</v>
      </c>
      <c r="G446" s="6" t="s">
        <v>13</v>
      </c>
      <c r="H446" s="6" t="str">
        <f>_xlfn.XLOOKUP(Transactions[[#This Row],[Sub-category]],TblDV[Sub-category],TblDV[Category],"")</f>
        <v>Dining Out</v>
      </c>
      <c r="I446" s="6" t="str">
        <f>_xlfn.XLOOKUP(Transactions[[#This Row],[Sub-category]],TblDV[Sub-category],TblDV[Category Type],"")</f>
        <v>Expense</v>
      </c>
    </row>
    <row r="447" spans="1:9">
      <c r="A447" t="s">
        <v>4</v>
      </c>
      <c r="B447" s="5">
        <v>44477</v>
      </c>
      <c r="C447" t="s">
        <v>12</v>
      </c>
      <c r="D447">
        <v>5</v>
      </c>
      <c r="F447" s="7">
        <f t="shared" si="6"/>
        <v>-5</v>
      </c>
      <c r="G447" s="6" t="s">
        <v>13</v>
      </c>
      <c r="H447" s="6" t="str">
        <f>_xlfn.XLOOKUP(Transactions[[#This Row],[Sub-category]],TblDV[Sub-category],TblDV[Category],"")</f>
        <v>Dining Out</v>
      </c>
      <c r="I447" s="6" t="str">
        <f>_xlfn.XLOOKUP(Transactions[[#This Row],[Sub-category]],TblDV[Sub-category],TblDV[Category Type],"")</f>
        <v>Expense</v>
      </c>
    </row>
    <row r="448" spans="1:9">
      <c r="A448" t="s">
        <v>4</v>
      </c>
      <c r="B448" s="5">
        <v>44477</v>
      </c>
      <c r="C448" t="s">
        <v>18</v>
      </c>
      <c r="D448">
        <v>105</v>
      </c>
      <c r="F448" s="7">
        <f t="shared" si="6"/>
        <v>-105</v>
      </c>
      <c r="G448" s="6" t="s">
        <v>19</v>
      </c>
      <c r="H448" s="6" t="str">
        <f>_xlfn.XLOOKUP(Transactions[[#This Row],[Sub-category]],TblDV[Sub-category],TblDV[Category],"")</f>
        <v>Living Expenses</v>
      </c>
      <c r="I448" s="6" t="str">
        <f>_xlfn.XLOOKUP(Transactions[[#This Row],[Sub-category]],TblDV[Sub-category],TblDV[Category Type],"")</f>
        <v>Expense</v>
      </c>
    </row>
    <row r="449" spans="1:9">
      <c r="A449" t="s">
        <v>9</v>
      </c>
      <c r="B449" s="5">
        <v>44480</v>
      </c>
      <c r="C449" t="s">
        <v>20</v>
      </c>
      <c r="D449">
        <v>59</v>
      </c>
      <c r="F449" s="7">
        <f t="shared" si="6"/>
        <v>-59</v>
      </c>
      <c r="G449" s="6" t="s">
        <v>21</v>
      </c>
      <c r="H449" s="6" t="str">
        <f>_xlfn.XLOOKUP(Transactions[[#This Row],[Sub-category]],TblDV[Sub-category],TblDV[Category],"")</f>
        <v>Living Expenses</v>
      </c>
      <c r="I449" s="6" t="str">
        <f>_xlfn.XLOOKUP(Transactions[[#This Row],[Sub-category]],TblDV[Sub-category],TblDV[Category Type],"")</f>
        <v>Expense</v>
      </c>
    </row>
    <row r="450" spans="1:9">
      <c r="A450" t="s">
        <v>4</v>
      </c>
      <c r="B450" s="5">
        <v>44480</v>
      </c>
      <c r="C450" t="s">
        <v>12</v>
      </c>
      <c r="D450">
        <v>5</v>
      </c>
      <c r="F450" s="7">
        <f t="shared" ref="F450:F487" si="7">E450-D450</f>
        <v>-5</v>
      </c>
      <c r="G450" s="6" t="s">
        <v>13</v>
      </c>
      <c r="H450" s="6" t="str">
        <f>_xlfn.XLOOKUP(Transactions[[#This Row],[Sub-category]],TblDV[Sub-category],TblDV[Category],"")</f>
        <v>Dining Out</v>
      </c>
      <c r="I450" s="6" t="str">
        <f>_xlfn.XLOOKUP(Transactions[[#This Row],[Sub-category]],TblDV[Sub-category],TblDV[Category Type],"")</f>
        <v>Expense</v>
      </c>
    </row>
    <row r="451" spans="1:9">
      <c r="A451" t="s">
        <v>4</v>
      </c>
      <c r="B451" s="5">
        <v>44481</v>
      </c>
      <c r="C451" t="s">
        <v>12</v>
      </c>
      <c r="D451">
        <v>5</v>
      </c>
      <c r="F451" s="7">
        <f t="shared" si="7"/>
        <v>-5</v>
      </c>
      <c r="G451" s="6" t="s">
        <v>13</v>
      </c>
      <c r="H451" s="6" t="str">
        <f>_xlfn.XLOOKUP(Transactions[[#This Row],[Sub-category]],TblDV[Sub-category],TblDV[Category],"")</f>
        <v>Dining Out</v>
      </c>
      <c r="I451" s="6" t="str">
        <f>_xlfn.XLOOKUP(Transactions[[#This Row],[Sub-category]],TblDV[Sub-category],TblDV[Category Type],"")</f>
        <v>Expense</v>
      </c>
    </row>
    <row r="452" spans="1:9">
      <c r="A452" t="s">
        <v>4</v>
      </c>
      <c r="B452" s="5">
        <v>44482</v>
      </c>
      <c r="C452" t="s">
        <v>22</v>
      </c>
      <c r="D452">
        <v>86.4</v>
      </c>
      <c r="F452" s="7">
        <f t="shared" si="7"/>
        <v>-86.4</v>
      </c>
      <c r="G452" s="6" t="s">
        <v>23</v>
      </c>
      <c r="H452" s="6" t="str">
        <f>_xlfn.XLOOKUP(Transactions[[#This Row],[Sub-category]],TblDV[Sub-category],TblDV[Category],"")</f>
        <v>Transport</v>
      </c>
      <c r="I452" s="6" t="str">
        <f>_xlfn.XLOOKUP(Transactions[[#This Row],[Sub-category]],TblDV[Sub-category],TblDV[Category Type],"")</f>
        <v>Expense</v>
      </c>
    </row>
    <row r="453" spans="1:9">
      <c r="A453" t="s">
        <v>4</v>
      </c>
      <c r="B453" s="5">
        <v>44482</v>
      </c>
      <c r="C453" t="s">
        <v>12</v>
      </c>
      <c r="D453">
        <v>5</v>
      </c>
      <c r="F453" s="7">
        <f t="shared" si="7"/>
        <v>-5</v>
      </c>
      <c r="G453" s="6" t="s">
        <v>13</v>
      </c>
      <c r="H453" s="6" t="str">
        <f>_xlfn.XLOOKUP(Transactions[[#This Row],[Sub-category]],TblDV[Sub-category],TblDV[Category],"")</f>
        <v>Dining Out</v>
      </c>
      <c r="I453" s="6" t="str">
        <f>_xlfn.XLOOKUP(Transactions[[#This Row],[Sub-category]],TblDV[Sub-category],TblDV[Category Type],"")</f>
        <v>Expense</v>
      </c>
    </row>
    <row r="454" spans="1:9">
      <c r="A454" t="s">
        <v>4</v>
      </c>
      <c r="B454" s="5">
        <v>44483</v>
      </c>
      <c r="C454" t="s">
        <v>12</v>
      </c>
      <c r="D454">
        <v>5</v>
      </c>
      <c r="F454" s="7">
        <f t="shared" si="7"/>
        <v>-5</v>
      </c>
      <c r="G454" s="6" t="s">
        <v>13</v>
      </c>
      <c r="H454" s="6" t="str">
        <f>_xlfn.XLOOKUP(Transactions[[#This Row],[Sub-category]],TblDV[Sub-category],TblDV[Category],"")</f>
        <v>Dining Out</v>
      </c>
      <c r="I454" s="6" t="str">
        <f>_xlfn.XLOOKUP(Transactions[[#This Row],[Sub-category]],TblDV[Sub-category],TblDV[Category Type],"")</f>
        <v>Expense</v>
      </c>
    </row>
    <row r="455" spans="1:9">
      <c r="A455" t="s">
        <v>4</v>
      </c>
      <c r="B455" s="5">
        <v>44484</v>
      </c>
      <c r="C455" t="s">
        <v>18</v>
      </c>
      <c r="D455">
        <v>143.9</v>
      </c>
      <c r="F455" s="7">
        <f t="shared" si="7"/>
        <v>-143.9</v>
      </c>
      <c r="G455" s="6" t="s">
        <v>19</v>
      </c>
      <c r="H455" s="6" t="str">
        <f>_xlfn.XLOOKUP(Transactions[[#This Row],[Sub-category]],TblDV[Sub-category],TblDV[Category],"")</f>
        <v>Living Expenses</v>
      </c>
      <c r="I455" s="6" t="str">
        <f>_xlfn.XLOOKUP(Transactions[[#This Row],[Sub-category]],TblDV[Sub-category],TblDV[Category Type],"")</f>
        <v>Expense</v>
      </c>
    </row>
    <row r="456" spans="1:9">
      <c r="A456" t="s">
        <v>4</v>
      </c>
      <c r="B456" s="5">
        <v>44484</v>
      </c>
      <c r="C456" t="s">
        <v>12</v>
      </c>
      <c r="D456">
        <v>5</v>
      </c>
      <c r="F456" s="7">
        <f t="shared" si="7"/>
        <v>-5</v>
      </c>
      <c r="G456" s="6" t="s">
        <v>13</v>
      </c>
      <c r="H456" s="6" t="str">
        <f>_xlfn.XLOOKUP(Transactions[[#This Row],[Sub-category]],TblDV[Sub-category],TblDV[Category],"")</f>
        <v>Dining Out</v>
      </c>
      <c r="I456" s="6" t="str">
        <f>_xlfn.XLOOKUP(Transactions[[#This Row],[Sub-category]],TblDV[Sub-category],TblDV[Category Type],"")</f>
        <v>Expense</v>
      </c>
    </row>
    <row r="457" spans="1:9">
      <c r="A457" t="s">
        <v>4</v>
      </c>
      <c r="B457" s="5">
        <v>44485</v>
      </c>
      <c r="C457" t="s">
        <v>12</v>
      </c>
      <c r="D457">
        <v>5</v>
      </c>
      <c r="F457" s="7">
        <f t="shared" si="7"/>
        <v>-5</v>
      </c>
      <c r="G457" s="6" t="s">
        <v>13</v>
      </c>
      <c r="H457" s="6" t="str">
        <f>_xlfn.XLOOKUP(Transactions[[#This Row],[Sub-category]],TblDV[Sub-category],TblDV[Category],"")</f>
        <v>Dining Out</v>
      </c>
      <c r="I457" s="6" t="str">
        <f>_xlfn.XLOOKUP(Transactions[[#This Row],[Sub-category]],TblDV[Sub-category],TblDV[Category Type],"")</f>
        <v>Expense</v>
      </c>
    </row>
    <row r="458" spans="1:9">
      <c r="A458" t="s">
        <v>4</v>
      </c>
      <c r="B458" s="5">
        <v>44485</v>
      </c>
      <c r="C458" t="s">
        <v>24</v>
      </c>
      <c r="D458">
        <v>48.8</v>
      </c>
      <c r="F458" s="7">
        <f t="shared" si="7"/>
        <v>-48.8</v>
      </c>
      <c r="G458" s="6" t="s">
        <v>25</v>
      </c>
      <c r="H458" s="6" t="str">
        <f>_xlfn.XLOOKUP(Transactions[[#This Row],[Sub-category]],TblDV[Sub-category],TblDV[Category],"")</f>
        <v>Discretionary</v>
      </c>
      <c r="I458" s="6" t="str">
        <f>_xlfn.XLOOKUP(Transactions[[#This Row],[Sub-category]],TblDV[Sub-category],TblDV[Category Type],"")</f>
        <v>Expense</v>
      </c>
    </row>
    <row r="459" spans="1:9">
      <c r="A459" t="s">
        <v>4</v>
      </c>
      <c r="B459" s="5">
        <v>44485</v>
      </c>
      <c r="C459" t="s">
        <v>26</v>
      </c>
      <c r="D459">
        <v>106.7</v>
      </c>
      <c r="F459" s="7">
        <f t="shared" si="7"/>
        <v>-106.7</v>
      </c>
      <c r="G459" s="6" t="s">
        <v>27</v>
      </c>
      <c r="H459" s="6" t="str">
        <f>_xlfn.XLOOKUP(Transactions[[#This Row],[Sub-category]],TblDV[Sub-category],TblDV[Category],"")</f>
        <v>Discretionary</v>
      </c>
      <c r="I459" s="6" t="str">
        <f>_xlfn.XLOOKUP(Transactions[[#This Row],[Sub-category]],TblDV[Sub-category],TblDV[Category Type],"")</f>
        <v>Expense</v>
      </c>
    </row>
    <row r="460" spans="1:9">
      <c r="A460" t="s">
        <v>4</v>
      </c>
      <c r="B460" s="5">
        <v>44485</v>
      </c>
      <c r="C460" t="s">
        <v>28</v>
      </c>
      <c r="D460">
        <v>61.1</v>
      </c>
      <c r="F460" s="7">
        <f t="shared" si="7"/>
        <v>-61.1</v>
      </c>
      <c r="G460" s="6" t="s">
        <v>29</v>
      </c>
      <c r="H460" s="6" t="str">
        <f>_xlfn.XLOOKUP(Transactions[[#This Row],[Sub-category]],TblDV[Sub-category],TblDV[Category],"")</f>
        <v>Dining Out</v>
      </c>
      <c r="I460" s="6" t="str">
        <f>_xlfn.XLOOKUP(Transactions[[#This Row],[Sub-category]],TblDV[Sub-category],TblDV[Category Type],"")</f>
        <v>Expense</v>
      </c>
    </row>
    <row r="461" spans="1:9">
      <c r="A461" t="s">
        <v>4</v>
      </c>
      <c r="B461" s="5">
        <v>44486</v>
      </c>
      <c r="C461" t="s">
        <v>30</v>
      </c>
      <c r="D461">
        <v>37.2</v>
      </c>
      <c r="F461" s="7">
        <f t="shared" si="7"/>
        <v>-37.2</v>
      </c>
      <c r="G461" s="6" t="s">
        <v>31</v>
      </c>
      <c r="H461" s="6" t="str">
        <f>_xlfn.XLOOKUP(Transactions[[#This Row],[Sub-category]],TblDV[Sub-category],TblDV[Category],"")</f>
        <v>Transport</v>
      </c>
      <c r="I461" s="6" t="str">
        <f>_xlfn.XLOOKUP(Transactions[[#This Row],[Sub-category]],TblDV[Sub-category],TblDV[Category Type],"")</f>
        <v>Expense</v>
      </c>
    </row>
    <row r="462" spans="1:9">
      <c r="A462" t="s">
        <v>9</v>
      </c>
      <c r="B462" s="5">
        <v>44487</v>
      </c>
      <c r="C462" t="s">
        <v>32</v>
      </c>
      <c r="D462">
        <v>30</v>
      </c>
      <c r="F462" s="7">
        <f t="shared" si="7"/>
        <v>-30</v>
      </c>
      <c r="G462" s="6" t="s">
        <v>33</v>
      </c>
      <c r="H462" s="6" t="str">
        <f>_xlfn.XLOOKUP(Transactions[[#This Row],[Sub-category]],TblDV[Sub-category],TblDV[Category],"")</f>
        <v>Discretionary</v>
      </c>
      <c r="I462" s="6" t="str">
        <f>_xlfn.XLOOKUP(Transactions[[#This Row],[Sub-category]],TblDV[Sub-category],TblDV[Category Type],"")</f>
        <v>Expense</v>
      </c>
    </row>
    <row r="463" spans="1:9">
      <c r="A463" t="s">
        <v>4</v>
      </c>
      <c r="B463" s="5">
        <v>44487</v>
      </c>
      <c r="C463" t="s">
        <v>12</v>
      </c>
      <c r="D463">
        <v>5</v>
      </c>
      <c r="F463" s="7">
        <f t="shared" si="7"/>
        <v>-5</v>
      </c>
      <c r="G463" s="6" t="s">
        <v>13</v>
      </c>
      <c r="H463" s="6" t="str">
        <f>_xlfn.XLOOKUP(Transactions[[#This Row],[Sub-category]],TblDV[Sub-category],TblDV[Category],"")</f>
        <v>Dining Out</v>
      </c>
      <c r="I463" s="6" t="str">
        <f>_xlfn.XLOOKUP(Transactions[[#This Row],[Sub-category]],TblDV[Sub-category],TblDV[Category Type],"")</f>
        <v>Expense</v>
      </c>
    </row>
    <row r="464" spans="1:9">
      <c r="A464" t="s">
        <v>4</v>
      </c>
      <c r="B464" s="5">
        <v>44488</v>
      </c>
      <c r="C464" t="s">
        <v>12</v>
      </c>
      <c r="D464">
        <v>5</v>
      </c>
      <c r="F464" s="7">
        <f t="shared" si="7"/>
        <v>-5</v>
      </c>
      <c r="G464" s="6" t="s">
        <v>13</v>
      </c>
      <c r="H464" s="6" t="str">
        <f>_xlfn.XLOOKUP(Transactions[[#This Row],[Sub-category]],TblDV[Sub-category],TblDV[Category],"")</f>
        <v>Dining Out</v>
      </c>
      <c r="I464" s="6" t="str">
        <f>_xlfn.XLOOKUP(Transactions[[#This Row],[Sub-category]],TblDV[Sub-category],TblDV[Category Type],"")</f>
        <v>Expense</v>
      </c>
    </row>
    <row r="465" spans="1:9">
      <c r="A465" t="s">
        <v>9</v>
      </c>
      <c r="B465" s="5">
        <v>44488</v>
      </c>
      <c r="C465" t="s">
        <v>48</v>
      </c>
      <c r="D465">
        <v>75</v>
      </c>
      <c r="F465" s="7">
        <f t="shared" si="7"/>
        <v>-75</v>
      </c>
      <c r="G465" s="6" t="s">
        <v>49</v>
      </c>
      <c r="H465" s="6" t="str">
        <f>_xlfn.XLOOKUP(Transactions[[#This Row],[Sub-category]],TblDV[Sub-category],TblDV[Category],"")</f>
        <v>Medical</v>
      </c>
      <c r="I465" s="6" t="str">
        <f>_xlfn.XLOOKUP(Transactions[[#This Row],[Sub-category]],TblDV[Sub-category],TblDV[Category Type],"")</f>
        <v>Expense</v>
      </c>
    </row>
    <row r="466" spans="1:9">
      <c r="A466" t="s">
        <v>9</v>
      </c>
      <c r="B466" s="5">
        <v>44488</v>
      </c>
      <c r="C466" t="s">
        <v>36</v>
      </c>
      <c r="D466">
        <v>40</v>
      </c>
      <c r="F466" s="7">
        <f t="shared" si="7"/>
        <v>-40</v>
      </c>
      <c r="G466" s="6" t="s">
        <v>37</v>
      </c>
      <c r="H466" s="6" t="str">
        <f>_xlfn.XLOOKUP(Transactions[[#This Row],[Sub-category]],TblDV[Sub-category],TblDV[Category],"")</f>
        <v>Living Expenses</v>
      </c>
      <c r="I466" s="6" t="str">
        <f>_xlfn.XLOOKUP(Transactions[[#This Row],[Sub-category]],TblDV[Sub-category],TblDV[Category Type],"")</f>
        <v>Expense</v>
      </c>
    </row>
    <row r="467" spans="1:9">
      <c r="A467" t="s">
        <v>4</v>
      </c>
      <c r="B467" s="5">
        <v>44489</v>
      </c>
      <c r="C467" t="s">
        <v>38</v>
      </c>
      <c r="D467">
        <v>54.1</v>
      </c>
      <c r="F467" s="7">
        <f t="shared" si="7"/>
        <v>-54.1</v>
      </c>
      <c r="G467" s="6" t="s">
        <v>39</v>
      </c>
      <c r="H467" s="6" t="str">
        <f>_xlfn.XLOOKUP(Transactions[[#This Row],[Sub-category]],TblDV[Sub-category],TblDV[Category],"")</f>
        <v>Discretionary</v>
      </c>
      <c r="I467" s="6" t="str">
        <f>_xlfn.XLOOKUP(Transactions[[#This Row],[Sub-category]],TblDV[Sub-category],TblDV[Category Type],"")</f>
        <v>Expense</v>
      </c>
    </row>
    <row r="468" spans="1:9">
      <c r="A468" t="s">
        <v>4</v>
      </c>
      <c r="B468" s="5">
        <v>44489</v>
      </c>
      <c r="C468" t="s">
        <v>40</v>
      </c>
      <c r="D468">
        <v>35</v>
      </c>
      <c r="F468" s="7">
        <f t="shared" si="7"/>
        <v>-35</v>
      </c>
      <c r="G468" s="6" t="s">
        <v>25</v>
      </c>
      <c r="H468" s="6" t="str">
        <f>_xlfn.XLOOKUP(Transactions[[#This Row],[Sub-category]],TblDV[Sub-category],TblDV[Category],"")</f>
        <v>Discretionary</v>
      </c>
      <c r="I468" s="6" t="str">
        <f>_xlfn.XLOOKUP(Transactions[[#This Row],[Sub-category]],TblDV[Sub-category],TblDV[Category Type],"")</f>
        <v>Expense</v>
      </c>
    </row>
    <row r="469" spans="1:9">
      <c r="A469" t="s">
        <v>4</v>
      </c>
      <c r="B469" s="5">
        <v>44489</v>
      </c>
      <c r="C469" t="s">
        <v>12</v>
      </c>
      <c r="D469">
        <v>5</v>
      </c>
      <c r="F469" s="7">
        <f t="shared" si="7"/>
        <v>-5</v>
      </c>
      <c r="G469" s="6" t="s">
        <v>13</v>
      </c>
      <c r="H469" s="6" t="str">
        <f>_xlfn.XLOOKUP(Transactions[[#This Row],[Sub-category]],TblDV[Sub-category],TblDV[Category],"")</f>
        <v>Dining Out</v>
      </c>
      <c r="I469" s="6" t="str">
        <f>_xlfn.XLOOKUP(Transactions[[#This Row],[Sub-category]],TblDV[Sub-category],TblDV[Category Type],"")</f>
        <v>Expense</v>
      </c>
    </row>
    <row r="470" spans="1:9">
      <c r="A470" t="s">
        <v>4</v>
      </c>
      <c r="B470" s="5">
        <v>44490</v>
      </c>
      <c r="C470" t="s">
        <v>12</v>
      </c>
      <c r="D470">
        <v>5</v>
      </c>
      <c r="F470" s="7">
        <f t="shared" si="7"/>
        <v>-5</v>
      </c>
      <c r="G470" s="6" t="s">
        <v>13</v>
      </c>
      <c r="H470" s="6" t="str">
        <f>_xlfn.XLOOKUP(Transactions[[#This Row],[Sub-category]],TblDV[Sub-category],TblDV[Category],"")</f>
        <v>Dining Out</v>
      </c>
      <c r="I470" s="6" t="str">
        <f>_xlfn.XLOOKUP(Transactions[[#This Row],[Sub-category]],TblDV[Sub-category],TblDV[Category Type],"")</f>
        <v>Expense</v>
      </c>
    </row>
    <row r="471" spans="1:9">
      <c r="A471" t="s">
        <v>4</v>
      </c>
      <c r="B471" s="5">
        <v>44491</v>
      </c>
      <c r="C471" t="s">
        <v>12</v>
      </c>
      <c r="D471">
        <v>5</v>
      </c>
      <c r="F471" s="7">
        <f t="shared" si="7"/>
        <v>-5</v>
      </c>
      <c r="G471" s="6" t="s">
        <v>13</v>
      </c>
      <c r="H471" s="6" t="str">
        <f>_xlfn.XLOOKUP(Transactions[[#This Row],[Sub-category]],TblDV[Sub-category],TblDV[Category],"")</f>
        <v>Dining Out</v>
      </c>
      <c r="I471" s="6" t="str">
        <f>_xlfn.XLOOKUP(Transactions[[#This Row],[Sub-category]],TblDV[Sub-category],TblDV[Category Type],"")</f>
        <v>Expense</v>
      </c>
    </row>
    <row r="472" spans="1:9">
      <c r="A472" t="s">
        <v>4</v>
      </c>
      <c r="B472" s="5">
        <v>44491</v>
      </c>
      <c r="C472" t="s">
        <v>18</v>
      </c>
      <c r="D472">
        <v>178.9</v>
      </c>
      <c r="F472" s="7">
        <f t="shared" si="7"/>
        <v>-178.9</v>
      </c>
      <c r="G472" s="6" t="s">
        <v>19</v>
      </c>
      <c r="H472" s="6" t="str">
        <f>_xlfn.XLOOKUP(Transactions[[#This Row],[Sub-category]],TblDV[Sub-category],TblDV[Category],"")</f>
        <v>Living Expenses</v>
      </c>
      <c r="I472" s="6" t="str">
        <f>_xlfn.XLOOKUP(Transactions[[#This Row],[Sub-category]],TblDV[Sub-category],TblDV[Category Type],"")</f>
        <v>Expense</v>
      </c>
    </row>
    <row r="473" spans="1:9">
      <c r="A473" t="s">
        <v>4</v>
      </c>
      <c r="B473" s="5">
        <v>44492</v>
      </c>
      <c r="C473" t="s">
        <v>41</v>
      </c>
      <c r="D473">
        <v>46.2</v>
      </c>
      <c r="F473" s="7">
        <f t="shared" si="7"/>
        <v>-46.2</v>
      </c>
      <c r="G473" s="6" t="s">
        <v>29</v>
      </c>
      <c r="H473" s="6" t="str">
        <f>_xlfn.XLOOKUP(Transactions[[#This Row],[Sub-category]],TblDV[Sub-category],TblDV[Category],"")</f>
        <v>Dining Out</v>
      </c>
      <c r="I473" s="6" t="str">
        <f>_xlfn.XLOOKUP(Transactions[[#This Row],[Sub-category]],TblDV[Sub-category],TblDV[Category Type],"")</f>
        <v>Expense</v>
      </c>
    </row>
    <row r="474" spans="1:9">
      <c r="A474" t="s">
        <v>4</v>
      </c>
      <c r="B474" s="5">
        <v>44493</v>
      </c>
      <c r="C474" t="s">
        <v>42</v>
      </c>
      <c r="D474">
        <v>21.1</v>
      </c>
      <c r="F474" s="7">
        <f t="shared" si="7"/>
        <v>-21.1</v>
      </c>
      <c r="G474" s="6" t="s">
        <v>29</v>
      </c>
      <c r="H474" s="6" t="str">
        <f>_xlfn.XLOOKUP(Transactions[[#This Row],[Sub-category]],TblDV[Sub-category],TblDV[Category],"")</f>
        <v>Dining Out</v>
      </c>
      <c r="I474" s="6" t="str">
        <f>_xlfn.XLOOKUP(Transactions[[#This Row],[Sub-category]],TblDV[Sub-category],TblDV[Category Type],"")</f>
        <v>Expense</v>
      </c>
    </row>
    <row r="475" spans="1:9">
      <c r="A475" t="s">
        <v>9</v>
      </c>
      <c r="B475" s="5">
        <v>44494</v>
      </c>
      <c r="C475" t="s">
        <v>43</v>
      </c>
      <c r="D475">
        <v>55</v>
      </c>
      <c r="F475" s="7">
        <f t="shared" si="7"/>
        <v>-55</v>
      </c>
      <c r="G475" s="6" t="s">
        <v>44</v>
      </c>
      <c r="H475" s="6" t="str">
        <f>_xlfn.XLOOKUP(Transactions[[#This Row],[Sub-category]],TblDV[Sub-category],TblDV[Category],"")</f>
        <v>Charity</v>
      </c>
      <c r="I475" s="6" t="str">
        <f>_xlfn.XLOOKUP(Transactions[[#This Row],[Sub-category]],TblDV[Sub-category],TblDV[Category Type],"")</f>
        <v>Expense</v>
      </c>
    </row>
    <row r="476" spans="1:9">
      <c r="A476" t="s">
        <v>4</v>
      </c>
      <c r="B476" s="5">
        <v>44494</v>
      </c>
      <c r="C476" t="s">
        <v>22</v>
      </c>
      <c r="D476">
        <v>71.5</v>
      </c>
      <c r="F476" s="7">
        <f t="shared" si="7"/>
        <v>-71.5</v>
      </c>
      <c r="G476" s="6" t="s">
        <v>23</v>
      </c>
      <c r="H476" s="6" t="str">
        <f>_xlfn.XLOOKUP(Transactions[[#This Row],[Sub-category]],TblDV[Sub-category],TblDV[Category],"")</f>
        <v>Transport</v>
      </c>
      <c r="I476" s="6" t="str">
        <f>_xlfn.XLOOKUP(Transactions[[#This Row],[Sub-category]],TblDV[Sub-category],TblDV[Category Type],"")</f>
        <v>Expense</v>
      </c>
    </row>
    <row r="477" spans="1:9">
      <c r="A477" t="s">
        <v>4</v>
      </c>
      <c r="B477" s="5">
        <v>44494</v>
      </c>
      <c r="C477" t="s">
        <v>12</v>
      </c>
      <c r="D477">
        <v>5</v>
      </c>
      <c r="F477" s="7">
        <f t="shared" si="7"/>
        <v>-5</v>
      </c>
      <c r="G477" s="6" t="s">
        <v>13</v>
      </c>
      <c r="H477" s="6" t="str">
        <f>_xlfn.XLOOKUP(Transactions[[#This Row],[Sub-category]],TblDV[Sub-category],TblDV[Category],"")</f>
        <v>Dining Out</v>
      </c>
      <c r="I477" s="6" t="str">
        <f>_xlfn.XLOOKUP(Transactions[[#This Row],[Sub-category]],TblDV[Sub-category],TblDV[Category Type],"")</f>
        <v>Expense</v>
      </c>
    </row>
    <row r="478" spans="1:9">
      <c r="A478" t="s">
        <v>4</v>
      </c>
      <c r="B478" s="5">
        <v>44495</v>
      </c>
      <c r="C478" t="s">
        <v>12</v>
      </c>
      <c r="D478">
        <v>5</v>
      </c>
      <c r="F478" s="7">
        <f t="shared" si="7"/>
        <v>-5</v>
      </c>
      <c r="G478" s="6" t="s">
        <v>13</v>
      </c>
      <c r="H478" s="6" t="str">
        <f>_xlfn.XLOOKUP(Transactions[[#This Row],[Sub-category]],TblDV[Sub-category],TblDV[Category],"")</f>
        <v>Dining Out</v>
      </c>
      <c r="I478" s="6" t="str">
        <f>_xlfn.XLOOKUP(Transactions[[#This Row],[Sub-category]],TblDV[Sub-category],TblDV[Category Type],"")</f>
        <v>Expense</v>
      </c>
    </row>
    <row r="479" spans="1:9">
      <c r="A479" t="s">
        <v>4</v>
      </c>
      <c r="B479" s="5">
        <v>44496</v>
      </c>
      <c r="C479" t="s">
        <v>12</v>
      </c>
      <c r="D479">
        <v>5</v>
      </c>
      <c r="F479" s="7">
        <f t="shared" si="7"/>
        <v>-5</v>
      </c>
      <c r="G479" s="6" t="s">
        <v>13</v>
      </c>
      <c r="H479" s="6" t="str">
        <f>_xlfn.XLOOKUP(Transactions[[#This Row],[Sub-category]],TblDV[Sub-category],TblDV[Category],"")</f>
        <v>Dining Out</v>
      </c>
      <c r="I479" s="6" t="str">
        <f>_xlfn.XLOOKUP(Transactions[[#This Row],[Sub-category]],TblDV[Sub-category],TblDV[Category Type],"")</f>
        <v>Expense</v>
      </c>
    </row>
    <row r="480" spans="1:9">
      <c r="A480" t="s">
        <v>4</v>
      </c>
      <c r="B480" s="5">
        <v>44497</v>
      </c>
      <c r="C480" t="s">
        <v>12</v>
      </c>
      <c r="D480">
        <v>5</v>
      </c>
      <c r="F480" s="7">
        <f t="shared" si="7"/>
        <v>-5</v>
      </c>
      <c r="G480" s="6" t="s">
        <v>13</v>
      </c>
      <c r="H480" s="6" t="str">
        <f>_xlfn.XLOOKUP(Transactions[[#This Row],[Sub-category]],TblDV[Sub-category],TblDV[Category],"")</f>
        <v>Dining Out</v>
      </c>
      <c r="I480" s="6" t="str">
        <f>_xlfn.XLOOKUP(Transactions[[#This Row],[Sub-category]],TblDV[Sub-category],TblDV[Category Type],"")</f>
        <v>Expense</v>
      </c>
    </row>
    <row r="481" spans="1:9">
      <c r="A481" t="s">
        <v>4</v>
      </c>
      <c r="B481" s="5">
        <v>44498</v>
      </c>
      <c r="C481" t="s">
        <v>12</v>
      </c>
      <c r="D481">
        <v>5</v>
      </c>
      <c r="F481" s="7">
        <f t="shared" si="7"/>
        <v>-5</v>
      </c>
      <c r="G481" s="6" t="s">
        <v>13</v>
      </c>
      <c r="H481" s="6" t="str">
        <f>_xlfn.XLOOKUP(Transactions[[#This Row],[Sub-category]],TblDV[Sub-category],TblDV[Category],"")</f>
        <v>Dining Out</v>
      </c>
      <c r="I481" s="6" t="str">
        <f>_xlfn.XLOOKUP(Transactions[[#This Row],[Sub-category]],TblDV[Sub-category],TblDV[Category Type],"")</f>
        <v>Expense</v>
      </c>
    </row>
    <row r="482" spans="1:9">
      <c r="A482" t="s">
        <v>4</v>
      </c>
      <c r="B482" s="5">
        <v>44498</v>
      </c>
      <c r="C482" t="s">
        <v>18</v>
      </c>
      <c r="D482">
        <v>189</v>
      </c>
      <c r="F482" s="7">
        <f t="shared" si="7"/>
        <v>-189</v>
      </c>
      <c r="G482" s="6" t="s">
        <v>19</v>
      </c>
      <c r="H482" s="6" t="str">
        <f>_xlfn.XLOOKUP(Transactions[[#This Row],[Sub-category]],TblDV[Sub-category],TblDV[Category],"")</f>
        <v>Living Expenses</v>
      </c>
      <c r="I482" s="6" t="str">
        <f>_xlfn.XLOOKUP(Transactions[[#This Row],[Sub-category]],TblDV[Sub-category],TblDV[Category Type],"")</f>
        <v>Expense</v>
      </c>
    </row>
    <row r="483" spans="1:9">
      <c r="A483" t="s">
        <v>4</v>
      </c>
      <c r="B483" s="5">
        <v>44499</v>
      </c>
      <c r="C483" t="s">
        <v>45</v>
      </c>
      <c r="D483">
        <v>133.8</v>
      </c>
      <c r="F483" s="7">
        <f t="shared" si="7"/>
        <v>-133.8</v>
      </c>
      <c r="G483" s="6" t="s">
        <v>27</v>
      </c>
      <c r="H483" s="6" t="str">
        <f>_xlfn.XLOOKUP(Transactions[[#This Row],[Sub-category]],TblDV[Sub-category],TblDV[Category],"")</f>
        <v>Discretionary</v>
      </c>
      <c r="I483" s="6" t="str">
        <f>_xlfn.XLOOKUP(Transactions[[#This Row],[Sub-category]],TblDV[Sub-category],TblDV[Category Type],"")</f>
        <v>Expense</v>
      </c>
    </row>
    <row r="484" spans="1:9">
      <c r="A484" t="s">
        <v>4</v>
      </c>
      <c r="B484" s="5">
        <v>44499</v>
      </c>
      <c r="C484" t="s">
        <v>46</v>
      </c>
      <c r="D484">
        <v>184.4</v>
      </c>
      <c r="F484" s="7">
        <f t="shared" si="7"/>
        <v>-184.4</v>
      </c>
      <c r="G484" s="6" t="s">
        <v>25</v>
      </c>
      <c r="H484" s="6" t="str">
        <f>_xlfn.XLOOKUP(Transactions[[#This Row],[Sub-category]],TblDV[Sub-category],TblDV[Category],"")</f>
        <v>Discretionary</v>
      </c>
      <c r="I484" s="6" t="str">
        <f>_xlfn.XLOOKUP(Transactions[[#This Row],[Sub-category]],TblDV[Sub-category],TblDV[Category Type],"")</f>
        <v>Expense</v>
      </c>
    </row>
    <row r="485" spans="1:9">
      <c r="A485" t="s">
        <v>4</v>
      </c>
      <c r="B485" s="5">
        <v>44500</v>
      </c>
      <c r="C485" t="s">
        <v>26</v>
      </c>
      <c r="D485">
        <v>154.5</v>
      </c>
      <c r="F485" s="7">
        <f t="shared" si="7"/>
        <v>-154.5</v>
      </c>
      <c r="G485" s="6" t="s">
        <v>27</v>
      </c>
      <c r="H485" s="6" t="str">
        <f>_xlfn.XLOOKUP(Transactions[[#This Row],[Sub-category]],TblDV[Sub-category],TblDV[Category],"")</f>
        <v>Discretionary</v>
      </c>
      <c r="I485" s="6" t="str">
        <f>_xlfn.XLOOKUP(Transactions[[#This Row],[Sub-category]],TblDV[Sub-category],TblDV[Category Type],"")</f>
        <v>Expense</v>
      </c>
    </row>
    <row r="486" spans="1:9">
      <c r="A486" t="s">
        <v>4</v>
      </c>
      <c r="B486" s="5">
        <v>44500</v>
      </c>
      <c r="C486" t="s">
        <v>30</v>
      </c>
      <c r="D486">
        <v>32.1</v>
      </c>
      <c r="F486" s="7">
        <f t="shared" si="7"/>
        <v>-32.1</v>
      </c>
      <c r="G486" s="6" t="s">
        <v>31</v>
      </c>
      <c r="H486" s="6" t="str">
        <f>_xlfn.XLOOKUP(Transactions[[#This Row],[Sub-category]],TblDV[Sub-category],TblDV[Category],"")</f>
        <v>Transport</v>
      </c>
      <c r="I486" s="6" t="str">
        <f>_xlfn.XLOOKUP(Transactions[[#This Row],[Sub-category]],TblDV[Sub-category],TblDV[Category Type],"")</f>
        <v>Expense</v>
      </c>
    </row>
    <row r="487" spans="1:9">
      <c r="A487" t="s">
        <v>4</v>
      </c>
      <c r="B487" s="5">
        <v>44500</v>
      </c>
      <c r="C487" t="s">
        <v>51</v>
      </c>
      <c r="D487">
        <v>15</v>
      </c>
      <c r="F487" s="7">
        <f t="shared" si="7"/>
        <v>-15</v>
      </c>
      <c r="G487" s="6" t="s">
        <v>29</v>
      </c>
      <c r="H487" s="6" t="str">
        <f>_xlfn.XLOOKUP(Transactions[[#This Row],[Sub-category]],TblDV[Sub-category],TblDV[Category],"")</f>
        <v>Dining Out</v>
      </c>
      <c r="I487" s="6" t="str">
        <f>_xlfn.XLOOKUP(Transactions[[#This Row],[Sub-category]],TblDV[Sub-category],TblDV[Category Type],"")</f>
        <v>Expense</v>
      </c>
    </row>
  </sheetData>
  <dataValidations count="1">
    <dataValidation type="list" allowBlank="1" showInputMessage="1" showErrorMessage="1" sqref="G2:G487">
      <formula1>Categories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D19"/>
  <sheetViews>
    <sheetView workbookViewId="0">
      <selection activeCell="B18" sqref="B18"/>
    </sheetView>
  </sheetViews>
  <sheetFormatPr defaultColWidth="9" defaultRowHeight="14.4" outlineLevelCol="3"/>
  <cols>
    <col min="1" max="1" width="3.28703703703704" customWidth="1"/>
    <col min="2" max="4" width="15.712962962963" customWidth="1"/>
  </cols>
  <sheetData>
    <row r="1" spans="2:4">
      <c r="B1" s="1" t="s">
        <v>6</v>
      </c>
      <c r="C1" s="1" t="s">
        <v>7</v>
      </c>
      <c r="D1" s="1" t="s">
        <v>8</v>
      </c>
    </row>
    <row r="2" spans="2:4">
      <c r="B2" t="s">
        <v>27</v>
      </c>
      <c r="C2" t="s">
        <v>56</v>
      </c>
      <c r="D2" t="s">
        <v>57</v>
      </c>
    </row>
    <row r="3" spans="2:4">
      <c r="B3" t="s">
        <v>13</v>
      </c>
      <c r="C3" t="s">
        <v>58</v>
      </c>
      <c r="D3" t="s">
        <v>57</v>
      </c>
    </row>
    <row r="4" spans="2:4">
      <c r="B4" t="s">
        <v>35</v>
      </c>
      <c r="C4" t="s">
        <v>59</v>
      </c>
      <c r="D4" t="s">
        <v>57</v>
      </c>
    </row>
    <row r="5" spans="2:4">
      <c r="B5" t="s">
        <v>49</v>
      </c>
      <c r="C5" t="s">
        <v>59</v>
      </c>
      <c r="D5" t="s">
        <v>57</v>
      </c>
    </row>
    <row r="6" spans="2:4">
      <c r="B6" t="s">
        <v>44</v>
      </c>
      <c r="C6" t="s">
        <v>60</v>
      </c>
      <c r="D6" t="s">
        <v>57</v>
      </c>
    </row>
    <row r="7" spans="2:4">
      <c r="B7" t="s">
        <v>25</v>
      </c>
      <c r="C7" t="s">
        <v>56</v>
      </c>
      <c r="D7" t="s">
        <v>57</v>
      </c>
    </row>
    <row r="8" spans="2:4">
      <c r="B8" t="s">
        <v>54</v>
      </c>
      <c r="C8" t="s">
        <v>56</v>
      </c>
      <c r="D8" t="s">
        <v>57</v>
      </c>
    </row>
    <row r="9" spans="2:4">
      <c r="B9" t="s">
        <v>21</v>
      </c>
      <c r="C9" t="s">
        <v>61</v>
      </c>
      <c r="D9" t="s">
        <v>57</v>
      </c>
    </row>
    <row r="10" spans="2:4">
      <c r="B10" t="s">
        <v>39</v>
      </c>
      <c r="C10" t="s">
        <v>56</v>
      </c>
      <c r="D10" t="s">
        <v>57</v>
      </c>
    </row>
    <row r="11" spans="2:4">
      <c r="B11" t="s">
        <v>19</v>
      </c>
      <c r="C11" t="s">
        <v>61</v>
      </c>
      <c r="D11" t="s">
        <v>57</v>
      </c>
    </row>
    <row r="12" spans="2:4">
      <c r="B12" t="s">
        <v>33</v>
      </c>
      <c r="C12" t="s">
        <v>56</v>
      </c>
      <c r="D12" t="s">
        <v>57</v>
      </c>
    </row>
    <row r="13" spans="2:4">
      <c r="B13" t="s">
        <v>23</v>
      </c>
      <c r="C13" t="s">
        <v>62</v>
      </c>
      <c r="D13" t="s">
        <v>57</v>
      </c>
    </row>
    <row r="14" spans="2:4">
      <c r="B14" t="s">
        <v>17</v>
      </c>
      <c r="C14" t="s">
        <v>62</v>
      </c>
      <c r="D14" t="s">
        <v>57</v>
      </c>
    </row>
    <row r="15" spans="2:4">
      <c r="B15" t="s">
        <v>37</v>
      </c>
      <c r="C15" t="s">
        <v>61</v>
      </c>
      <c r="D15" t="s">
        <v>57</v>
      </c>
    </row>
    <row r="16" spans="2:4">
      <c r="B16" t="s">
        <v>15</v>
      </c>
      <c r="C16" t="s">
        <v>61</v>
      </c>
      <c r="D16" t="s">
        <v>57</v>
      </c>
    </row>
    <row r="17" spans="2:4">
      <c r="B17" t="s">
        <v>29</v>
      </c>
      <c r="C17" t="s">
        <v>58</v>
      </c>
      <c r="D17" t="s">
        <v>57</v>
      </c>
    </row>
    <row r="18" spans="2:4">
      <c r="B18" t="s">
        <v>11</v>
      </c>
      <c r="C18" t="s">
        <v>11</v>
      </c>
      <c r="D18" t="s">
        <v>63</v>
      </c>
    </row>
    <row r="19" spans="2:4">
      <c r="B19" t="s">
        <v>31</v>
      </c>
      <c r="C19" t="s">
        <v>62</v>
      </c>
      <c r="D19" t="s">
        <v>57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0A517-D961-4037-909A-5DFE49EF1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Mynda Treacy</dc:creator>
  <cp:lastModifiedBy>Mayuri Sapre</cp:lastModifiedBy>
  <dcterms:created xsi:type="dcterms:W3CDTF">2019-08-20T08:51:00Z</dcterms:created>
  <dcterms:modified xsi:type="dcterms:W3CDTF">2025-12-02T03:22:39Z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02b84695-4a78-46f7-82bd-1e46fd6e4c51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KSOProductBuildVer">
    <vt:lpwstr>1033-12.2.0.23155</vt:lpwstr>
  </property>
  <property fmtid="{D5CDD505-2E9C-101B-9397-08002B2CF9AE}" pid="6" name="ICV">
    <vt:lpwstr>76076B4DAD6B44CB8F69F2DF32021BE8_13</vt:lpwstr>
  </property>
</Properties>
</file>